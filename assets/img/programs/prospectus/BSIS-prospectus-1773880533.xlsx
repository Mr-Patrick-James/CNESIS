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44" windowHeight="9000"/>
  </bookViews>
  <sheets>
    <sheet name="BSIS" sheetId="9" r:id="rId1"/>
    <sheet name="BPA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<sst xmlns="http://schemas.openxmlformats.org/spreadsheetml/2006/main" count="515" uniqueCount="234">
  <si>
    <t>Bachelor of Science in Information Systems (BSIS)</t>
  </si>
  <si>
    <t>Academic Year 2023-2024</t>
  </si>
  <si>
    <t>CMO No. 25, s. 2015, CMO No. 4 s. 2018, CMO No.20 s. 2013</t>
  </si>
  <si>
    <t>FIRST YEAR</t>
  </si>
  <si>
    <t>First Semester</t>
  </si>
  <si>
    <t>Course Code</t>
  </si>
  <si>
    <t>Course Title</t>
  </si>
  <si>
    <t>Units</t>
  </si>
  <si>
    <t>Lec</t>
  </si>
  <si>
    <t>Lab</t>
  </si>
  <si>
    <t>Prerequisite</t>
  </si>
  <si>
    <t>CC101</t>
  </si>
  <si>
    <t>Introduction to Computing</t>
  </si>
  <si>
    <t>-</t>
  </si>
  <si>
    <t>GenED 101</t>
  </si>
  <si>
    <t>Understanding the self</t>
  </si>
  <si>
    <t>GenED 102</t>
  </si>
  <si>
    <t>Mathematics in the Modern World</t>
  </si>
  <si>
    <t>GenED 103</t>
  </si>
  <si>
    <t>Art Appreciation</t>
  </si>
  <si>
    <t>GenED 104</t>
  </si>
  <si>
    <t>The Contemporary World</t>
  </si>
  <si>
    <t>GenED 105</t>
  </si>
  <si>
    <t>Purposive Communication</t>
  </si>
  <si>
    <t>NSTP 1</t>
  </si>
  <si>
    <t>National Service Training 1</t>
  </si>
  <si>
    <t>PE 1</t>
  </si>
  <si>
    <t>Physical Fitness, Gymnastics and Aerobics</t>
  </si>
  <si>
    <t>Math Plus</t>
  </si>
  <si>
    <t>(1)</t>
  </si>
  <si>
    <t>Total</t>
  </si>
  <si>
    <t>Second Semester</t>
  </si>
  <si>
    <t>CC102</t>
  </si>
  <si>
    <t>Computer Programming 1</t>
  </si>
  <si>
    <t>GenED 106</t>
  </si>
  <si>
    <t>The Life and Works of Rizal</t>
  </si>
  <si>
    <t>GenED 107</t>
  </si>
  <si>
    <t>Ethics</t>
  </si>
  <si>
    <t>GenED 108</t>
  </si>
  <si>
    <t>Readings in Philippine History</t>
  </si>
  <si>
    <t>ISP101</t>
  </si>
  <si>
    <t>Fundamental of IS</t>
  </si>
  <si>
    <t>GenED 109</t>
  </si>
  <si>
    <t>Logic and Critical Thinking</t>
  </si>
  <si>
    <t>PE 2</t>
  </si>
  <si>
    <t>Rhythmic Activities</t>
  </si>
  <si>
    <t>NSTP  2</t>
  </si>
  <si>
    <t>National Service Training 2</t>
  </si>
  <si>
    <t>SECOND YEAR</t>
  </si>
  <si>
    <t>CC103</t>
  </si>
  <si>
    <t>Computer Programming 2</t>
  </si>
  <si>
    <t>ISP102</t>
  </si>
  <si>
    <t>Professional Issues in IS</t>
  </si>
  <si>
    <t>GenEd 107</t>
  </si>
  <si>
    <t>ISP103</t>
  </si>
  <si>
    <t>Organization &amp; Management Concept</t>
  </si>
  <si>
    <t>ISP104</t>
  </si>
  <si>
    <t>Business Process Management</t>
  </si>
  <si>
    <t>ISP105</t>
  </si>
  <si>
    <t>IT Infrastructure &amp; Network Technologies</t>
  </si>
  <si>
    <t>ISP106</t>
  </si>
  <si>
    <t>Financial Management</t>
  </si>
  <si>
    <t>GenED 110</t>
  </si>
  <si>
    <t>Science, Technology and Society</t>
  </si>
  <si>
    <t>PE 3</t>
  </si>
  <si>
    <t>Individual and Dual Sports</t>
  </si>
  <si>
    <t>CC104</t>
  </si>
  <si>
    <t>Data Structures and Algorithms</t>
  </si>
  <si>
    <t>ISP107</t>
  </si>
  <si>
    <t>Systems Analysis, Design and Development</t>
  </si>
  <si>
    <t>Regular 2nd year</t>
  </si>
  <si>
    <t>ISP108</t>
  </si>
  <si>
    <t>Enterprise Architecture</t>
  </si>
  <si>
    <t>ISP109</t>
  </si>
  <si>
    <t>Human-Computer Interaction</t>
  </si>
  <si>
    <t>ISP110</t>
  </si>
  <si>
    <t>Quantitative Methods</t>
  </si>
  <si>
    <t>GenEd 102</t>
  </si>
  <si>
    <t>GenED 111</t>
  </si>
  <si>
    <t>Gender and Society</t>
  </si>
  <si>
    <t>GenED 112</t>
  </si>
  <si>
    <t>Asean Literature</t>
  </si>
  <si>
    <t>GenED 113</t>
  </si>
  <si>
    <t>Environmental Science</t>
  </si>
  <si>
    <t>PE 4</t>
  </si>
  <si>
    <t>Team Sports</t>
  </si>
  <si>
    <t>THIRD YEAR</t>
  </si>
  <si>
    <t>CC105</t>
  </si>
  <si>
    <t>Information Management</t>
  </si>
  <si>
    <t>CC106</t>
  </si>
  <si>
    <t>Applications Development and emerging Technologies</t>
  </si>
  <si>
    <t>ISP111</t>
  </si>
  <si>
    <t>Evaluation of Business Performance</t>
  </si>
  <si>
    <t>ISP112</t>
  </si>
  <si>
    <t>Data Mining</t>
  </si>
  <si>
    <t>ISP113</t>
  </si>
  <si>
    <t>IS Project Management 1</t>
  </si>
  <si>
    <t>Regular 3rd year</t>
  </si>
  <si>
    <t>ISP114</t>
  </si>
  <si>
    <t>Methods of Research</t>
  </si>
  <si>
    <t>ISE 101</t>
  </si>
  <si>
    <t>Enterprise Systems</t>
  </si>
  <si>
    <t>ISCAP101</t>
  </si>
  <si>
    <t>Capstone Project 1</t>
  </si>
  <si>
    <t>ISP115</t>
  </si>
  <si>
    <t>IS Project Management 2</t>
  </si>
  <si>
    <t>ISP116</t>
  </si>
  <si>
    <t>Enterprise Resource Planning</t>
  </si>
  <si>
    <t>CC105, ISP104</t>
  </si>
  <si>
    <t>ISP117</t>
  </si>
  <si>
    <t>Business Intelligence</t>
  </si>
  <si>
    <t>ISP112, ISP104</t>
  </si>
  <si>
    <t>ISE 102</t>
  </si>
  <si>
    <t>IS Innovations and New Technologies</t>
  </si>
  <si>
    <t>ISP 101</t>
  </si>
  <si>
    <t>ISE 103</t>
  </si>
  <si>
    <t>IT Service Management</t>
  </si>
  <si>
    <t>FOURTH YEAR</t>
  </si>
  <si>
    <t>First  Semester</t>
  </si>
  <si>
    <t>ISCAP102</t>
  </si>
  <si>
    <t>Capstone Project 2</t>
  </si>
  <si>
    <t>ISP118</t>
  </si>
  <si>
    <t>IS Strategy Management and Acquisition</t>
  </si>
  <si>
    <t>Regular 4th year</t>
  </si>
  <si>
    <t>ISP119</t>
  </si>
  <si>
    <t>IT Audit and Control</t>
  </si>
  <si>
    <t>ISE 104</t>
  </si>
  <si>
    <t>IT Security and Management</t>
  </si>
  <si>
    <t>Second  Semester</t>
  </si>
  <si>
    <t>ISOJT</t>
  </si>
  <si>
    <t>Internship Training</t>
  </si>
  <si>
    <t>Completed academic Requirements</t>
  </si>
  <si>
    <t>SUMMARY</t>
  </si>
  <si>
    <t>No. of Units</t>
  </si>
  <si>
    <t>General Education Courses</t>
  </si>
  <si>
    <t>Common courses</t>
  </si>
  <si>
    <t>Professional Education Courses</t>
  </si>
  <si>
    <t>Professional Elective Courses</t>
  </si>
  <si>
    <t>Additional Math and Science requirements</t>
  </si>
  <si>
    <t>Physical Education</t>
  </si>
  <si>
    <t>National Service Training Program</t>
  </si>
  <si>
    <t>TOTAL</t>
  </si>
  <si>
    <t>Prepared by:</t>
  </si>
  <si>
    <t>LLOYD P. CATARING</t>
  </si>
  <si>
    <t>College Registrar</t>
  </si>
  <si>
    <t>Recommending Approval</t>
  </si>
  <si>
    <t>Approved:</t>
  </si>
  <si>
    <t>LEONICIA S. MARQUINEZ, Ph.D.</t>
  </si>
  <si>
    <t>College Dean</t>
  </si>
  <si>
    <t>DONATO G. BUENO, Ed.D.</t>
  </si>
  <si>
    <t>College Administrator</t>
  </si>
  <si>
    <t>CURRRICULUM</t>
  </si>
  <si>
    <t>Bachelor of Public Administration (BPA)</t>
  </si>
  <si>
    <t>CMO No. 6, s. 2010, CMO No. 4 s. 2018, CMO No.20 s. 2013</t>
  </si>
  <si>
    <t>PAM 01</t>
  </si>
  <si>
    <t>Introduction to Public Administration</t>
  </si>
  <si>
    <t>National Service Training Program 1</t>
  </si>
  <si>
    <t>Physical Activities Toward Health and Fitness (PATFIT 1): Movement Competency Training</t>
  </si>
  <si>
    <t>English Plus</t>
  </si>
  <si>
    <t>(2)</t>
  </si>
  <si>
    <t>PAM 02</t>
  </si>
  <si>
    <t>Philippine Administrative Thoughts and Institutions</t>
  </si>
  <si>
    <t>College Algebra</t>
  </si>
  <si>
    <t>PAE 01</t>
  </si>
  <si>
    <t>Public Enterprise</t>
  </si>
  <si>
    <t>Physical Activities Toward Health and Fitness (PATFIT 2): Exercise Based-Fitness Activities</t>
  </si>
  <si>
    <t>National Service Training Program 2</t>
  </si>
  <si>
    <t>PAM 03</t>
  </si>
  <si>
    <t>Human Behavior in Organization</t>
  </si>
  <si>
    <t>Microeconomics</t>
  </si>
  <si>
    <t>Basic Economics with Taxation and Agrarian Reform</t>
  </si>
  <si>
    <t>PAM 04</t>
  </si>
  <si>
    <t>Knowledge Management and ICT for Public Service</t>
  </si>
  <si>
    <t>PASC 01</t>
  </si>
  <si>
    <t>Fundamental of Statistics</t>
  </si>
  <si>
    <t>Physical Activities Toward Health and Fitness (PATFIT 3): SPORTS</t>
  </si>
  <si>
    <t>PASC 02</t>
  </si>
  <si>
    <t>Basic accounting</t>
  </si>
  <si>
    <t>PAM 05</t>
  </si>
  <si>
    <t>Organization and Management</t>
  </si>
  <si>
    <t>PAM 06</t>
  </si>
  <si>
    <t>Local and Regional Governance</t>
  </si>
  <si>
    <t>PAM 07</t>
  </si>
  <si>
    <t>Ethics and Accountability in the Public Service</t>
  </si>
  <si>
    <t>PAM 08</t>
  </si>
  <si>
    <t>Public Personnel Administration</t>
  </si>
  <si>
    <t>PASC 03</t>
  </si>
  <si>
    <t>Sociology</t>
  </si>
  <si>
    <t>GenED 114</t>
  </si>
  <si>
    <t>Philippine Government and Constitution</t>
  </si>
  <si>
    <t>Physical Activities Toward Health and Fitness (PATFIT)4:SPORTS</t>
  </si>
  <si>
    <t>PAM 09</t>
  </si>
  <si>
    <t>Public Fiscal Administration</t>
  </si>
  <si>
    <t>PAM 10</t>
  </si>
  <si>
    <t>Public Policy and Program Administration</t>
  </si>
  <si>
    <t>PAM 11</t>
  </si>
  <si>
    <t>Office and Systems Management</t>
  </si>
  <si>
    <t xml:space="preserve">PAM 12 </t>
  </si>
  <si>
    <t>Politics and Administration</t>
  </si>
  <si>
    <t>PAE 02</t>
  </si>
  <si>
    <t>Environmental Management</t>
  </si>
  <si>
    <t>PAE 03</t>
  </si>
  <si>
    <t>Project Development and Management</t>
  </si>
  <si>
    <t>PASC 04</t>
  </si>
  <si>
    <t>Good Governance and Social Responsibility</t>
  </si>
  <si>
    <t>PAM 13</t>
  </si>
  <si>
    <t>Public Accounting and Budgeting</t>
  </si>
  <si>
    <t>PAM 14</t>
  </si>
  <si>
    <t>Leadership and Decision Making</t>
  </si>
  <si>
    <t>PAM 15</t>
  </si>
  <si>
    <t>Research Methods in PA 1</t>
  </si>
  <si>
    <t>PAM 16</t>
  </si>
  <si>
    <t>Governance and Development</t>
  </si>
  <si>
    <t>PAE 04</t>
  </si>
  <si>
    <t>Tools in Policy Analysis</t>
  </si>
  <si>
    <t>PAE 05</t>
  </si>
  <si>
    <t>Records and Property Management</t>
  </si>
  <si>
    <t>PAM 17</t>
  </si>
  <si>
    <t>Research Methods in PA 2</t>
  </si>
  <si>
    <t>PAM 18</t>
  </si>
  <si>
    <t>Administrative Law</t>
  </si>
  <si>
    <t>PAE 06</t>
  </si>
  <si>
    <t>Government Auditing</t>
  </si>
  <si>
    <t xml:space="preserve">                                                             </t>
  </si>
  <si>
    <t>PAM 19</t>
  </si>
  <si>
    <t>Special Topics in Public Administration with Seminar</t>
  </si>
  <si>
    <t>Permission of Program Chair or Coordinator</t>
  </si>
  <si>
    <t>PRAC01</t>
  </si>
  <si>
    <t>Practicum/ Work Integrated Learning for Public Administration (400 hrs)</t>
  </si>
  <si>
    <t>Regular Standing</t>
  </si>
  <si>
    <t>Public Administration Courses</t>
  </si>
  <si>
    <t>Elective Courses</t>
  </si>
  <si>
    <t>Special Core Courses</t>
  </si>
  <si>
    <t>Practicum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</si>
</sst>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4"/>
      <color theme="1"/>
      <name val="Arial"/>
      <charset val="134"/>
    </font>
    <font>
      <b/>
      <i/>
      <sz val="11"/>
      <color theme="1"/>
      <name val="Arial"/>
      <charset val="134"/>
    </font>
    <font>
      <sz val="11"/>
      <color theme="1"/>
      <name val="Arial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entury Gothic"/>
      <charset val="134"/>
    </font>
    <font>
      <sz val="11"/>
      <color theme="1"/>
      <name val="Century Gothic"/>
      <charset val="134"/>
    </font>
    <font>
      <sz val="11"/>
      <name val="Century Gothic"/>
      <charset val="134"/>
    </font>
    <font>
      <b/>
      <sz val="1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13">
    <xf numFmtId="0" fontId="0" fillId="0" borderId="0" xfId="0"/>
    <xf numFmtId="0" fontId="1" fillId="0" borderId="0" xfId="6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7" fillId="0" borderId="1" xfId="0" applyFont="1" applyBorder="1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2" xfId="0" applyFont="1" applyBorder="1"/>
    <xf numFmtId="0" fontId="4" fillId="0" borderId="1" xfId="0" applyFont="1" applyBorder="1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3" borderId="1" xfId="0" applyFont="1" applyFill="1" applyBorder="1"/>
    <xf numFmtId="0" fontId="11" fillId="0" borderId="3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/>
    <xf numFmtId="0" fontId="12" fillId="0" borderId="0" xfId="0" applyFont="1" applyBorder="1"/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590346</xdr:colOff>
      <xdr:row>0</xdr:row>
      <xdr:rowOff>0</xdr:rowOff>
    </xdr:from>
    <xdr:to>
      <xdr:col>5</xdr:col>
      <xdr:colOff>893638</xdr:colOff>
      <xdr:row>6</xdr:row>
      <xdr:rowOff>81206</xdr:rowOff>
    </xdr:to>
    <xdr:pic>
      <xdr:nvPicPr>
        <xdr:cNvPr id="5" name="Picture 4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915" y="0"/>
          <a:ext cx="5500370" cy="117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558297</xdr:colOff>
      <xdr:row>0</xdr:row>
      <xdr:rowOff>0</xdr:rowOff>
    </xdr:from>
    <xdr:to>
      <xdr:col>5</xdr:col>
      <xdr:colOff>580932</xdr:colOff>
      <xdr:row>6</xdr:row>
      <xdr:rowOff>75445</xdr:rowOff>
    </xdr:to>
    <xdr:pic>
      <xdr:nvPicPr>
        <xdr:cNvPr id="6" name="Picture 5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" y="0"/>
          <a:ext cx="5485765" cy="1172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olegiodenaujan@gmail.com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5"/>
  <sheetViews>
    <sheetView tabSelected="1" zoomScale="75" zoomScaleNormal="75" topLeftCell="A3" workbookViewId="0">
      <selection activeCell="A19" sqref="$A19:$XFD19"/>
    </sheetView>
  </sheetViews>
  <sheetFormatPr defaultColWidth="9" defaultRowHeight="14.4"/>
  <cols>
    <col min="1" max="1" width="12" customWidth="1"/>
    <col min="2" max="2" width="45.1111111111111" customWidth="1"/>
    <col min="3" max="3" width="6.88888888888889" customWidth="1"/>
    <col min="4" max="4" width="6.44444444444444" customWidth="1"/>
    <col min="5" max="5" width="5.33333333333333" customWidth="1"/>
    <col min="6" max="6" width="19.5555555555556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57" t="s">
        <v>0</v>
      </c>
      <c r="B8" s="57"/>
      <c r="C8" s="57"/>
      <c r="D8" s="57"/>
      <c r="E8" s="57"/>
      <c r="F8" s="57"/>
    </row>
    <row r="9" spans="1:6">
      <c r="A9" s="58" t="s">
        <v>1</v>
      </c>
      <c r="B9" s="58"/>
      <c r="C9" s="58"/>
      <c r="D9" s="58"/>
      <c r="E9" s="58"/>
      <c r="F9" s="58"/>
    </row>
    <row r="10" spans="1:6">
      <c r="A10" s="59" t="s">
        <v>2</v>
      </c>
      <c r="B10" s="59"/>
      <c r="C10" s="59"/>
      <c r="D10" s="59"/>
      <c r="E10" s="59"/>
      <c r="F10" s="59"/>
    </row>
    <row r="11" spans="1:6">
      <c r="A11" s="59"/>
      <c r="B11" s="59"/>
      <c r="C11" s="59"/>
      <c r="D11" s="59"/>
      <c r="E11" s="59"/>
      <c r="F11" s="59"/>
    </row>
    <row r="12" spans="1:6">
      <c r="A12" s="60" t="s">
        <v>3</v>
      </c>
      <c r="B12" s="60"/>
      <c r="C12" s="60"/>
      <c r="D12" s="60"/>
      <c r="E12" s="60"/>
      <c r="F12" s="60"/>
    </row>
    <row r="13" spans="1:6">
      <c r="A13" s="61" t="s">
        <v>4</v>
      </c>
      <c r="B13" s="61"/>
      <c r="C13" s="61"/>
      <c r="D13" s="61"/>
      <c r="E13" s="61"/>
      <c r="F13" s="61"/>
    </row>
    <row r="14" spans="1:6">
      <c r="A14" s="61" t="s">
        <v>5</v>
      </c>
      <c r="B14" s="61" t="s">
        <v>6</v>
      </c>
      <c r="C14" s="61" t="s">
        <v>7</v>
      </c>
      <c r="D14" s="61" t="s">
        <v>8</v>
      </c>
      <c r="E14" s="61" t="s">
        <v>9</v>
      </c>
      <c r="F14" s="61" t="s">
        <v>10</v>
      </c>
    </row>
    <row r="15" spans="1:6">
      <c r="A15" s="62" t="s">
        <v>11</v>
      </c>
      <c r="B15" s="63" t="s">
        <v>12</v>
      </c>
      <c r="C15" s="61">
        <v>3</v>
      </c>
      <c r="D15" s="64">
        <v>2</v>
      </c>
      <c r="E15" s="64">
        <v>3</v>
      </c>
      <c r="F15" s="64" t="s">
        <v>13</v>
      </c>
    </row>
    <row r="16" spans="1:6">
      <c r="A16" s="62" t="s">
        <v>14</v>
      </c>
      <c r="B16" s="63" t="s">
        <v>15</v>
      </c>
      <c r="C16" s="61">
        <v>3</v>
      </c>
      <c r="D16" s="64">
        <v>3</v>
      </c>
      <c r="E16" s="64" t="s">
        <v>13</v>
      </c>
      <c r="F16" s="64" t="s">
        <v>13</v>
      </c>
    </row>
    <row r="17" spans="1:9">
      <c r="A17" s="62" t="s">
        <v>16</v>
      </c>
      <c r="B17" s="63" t="s">
        <v>17</v>
      </c>
      <c r="C17" s="61">
        <v>3</v>
      </c>
      <c r="D17" s="64">
        <v>3</v>
      </c>
      <c r="E17" s="64" t="s">
        <v>13</v>
      </c>
      <c r="F17" s="64" t="s">
        <v>13</v>
      </c>
      <c r="I17" s="98"/>
    </row>
    <row r="18" spans="1:9">
      <c r="A18" s="62" t="s">
        <v>18</v>
      </c>
      <c r="B18" s="63" t="s">
        <v>19</v>
      </c>
      <c r="C18" s="61">
        <v>3</v>
      </c>
      <c r="D18" s="64">
        <v>3</v>
      </c>
      <c r="E18" s="64" t="s">
        <v>13</v>
      </c>
      <c r="F18" s="64" t="s">
        <v>13</v>
      </c>
      <c r="I18" s="98"/>
    </row>
    <row r="19" spans="1:9">
      <c r="A19" s="62" t="s">
        <v>20</v>
      </c>
      <c r="B19" s="63" t="s">
        <v>21</v>
      </c>
      <c r="C19" s="61">
        <v>3</v>
      </c>
      <c r="D19" s="64">
        <v>3</v>
      </c>
      <c r="E19" s="64" t="s">
        <v>13</v>
      </c>
      <c r="F19" s="64" t="s">
        <v>13</v>
      </c>
      <c r="I19" s="98"/>
    </row>
    <row r="20" spans="1:11">
      <c r="A20" s="62" t="s">
        <v>22</v>
      </c>
      <c r="B20" s="63" t="s">
        <v>23</v>
      </c>
      <c r="C20" s="61">
        <v>3</v>
      </c>
      <c r="D20" s="65">
        <v>3</v>
      </c>
      <c r="E20" s="64" t="s">
        <v>13</v>
      </c>
      <c r="F20" s="64" t="s">
        <v>13</v>
      </c>
      <c r="I20" s="98"/>
      <c r="J20" s="99"/>
      <c r="K20" s="99"/>
    </row>
    <row r="21" spans="1:11">
      <c r="A21" s="62" t="s">
        <v>24</v>
      </c>
      <c r="B21" s="62" t="s">
        <v>25</v>
      </c>
      <c r="C21" s="61">
        <v>3</v>
      </c>
      <c r="D21" s="64">
        <v>3</v>
      </c>
      <c r="E21" s="64" t="s">
        <v>13</v>
      </c>
      <c r="F21" s="64" t="s">
        <v>13</v>
      </c>
      <c r="I21" s="98"/>
      <c r="J21" s="99"/>
      <c r="K21" s="99"/>
    </row>
    <row r="22" spans="1:11">
      <c r="A22" s="62" t="s">
        <v>26</v>
      </c>
      <c r="B22" s="62" t="s">
        <v>27</v>
      </c>
      <c r="C22" s="66">
        <v>2</v>
      </c>
      <c r="D22" s="64">
        <v>2</v>
      </c>
      <c r="E22" s="64" t="s">
        <v>13</v>
      </c>
      <c r="F22" s="64" t="s">
        <v>13</v>
      </c>
      <c r="I22" s="98"/>
      <c r="J22" s="100"/>
      <c r="K22" s="100"/>
    </row>
    <row r="23" spans="1:11">
      <c r="A23" s="62"/>
      <c r="B23" s="62" t="s">
        <v>28</v>
      </c>
      <c r="C23" s="66" t="s">
        <v>29</v>
      </c>
      <c r="D23" s="66" t="s">
        <v>29</v>
      </c>
      <c r="E23" s="64" t="s">
        <v>13</v>
      </c>
      <c r="F23" s="64" t="s">
        <v>13</v>
      </c>
      <c r="I23" s="98"/>
      <c r="J23" s="100"/>
      <c r="K23" s="100"/>
    </row>
    <row r="24" spans="1:9">
      <c r="A24" s="62"/>
      <c r="B24" s="67" t="s">
        <v>30</v>
      </c>
      <c r="C24" s="61">
        <f>SUM(C15:C23)</f>
        <v>23</v>
      </c>
      <c r="D24" s="64">
        <f>SUM(D15:D22)</f>
        <v>22</v>
      </c>
      <c r="E24" s="64">
        <v>3</v>
      </c>
      <c r="F24" s="64"/>
      <c r="I24" s="98"/>
    </row>
    <row r="25" spans="1:9">
      <c r="A25" s="68" t="s">
        <v>3</v>
      </c>
      <c r="B25" s="69"/>
      <c r="C25" s="69"/>
      <c r="D25" s="69"/>
      <c r="E25" s="69"/>
      <c r="F25" s="70"/>
      <c r="I25" s="98"/>
    </row>
    <row r="26" spans="1:9">
      <c r="A26" s="68" t="s">
        <v>31</v>
      </c>
      <c r="B26" s="69"/>
      <c r="C26" s="69"/>
      <c r="D26" s="69"/>
      <c r="E26" s="69"/>
      <c r="F26" s="70"/>
      <c r="I26" s="98"/>
    </row>
    <row r="27" spans="1:9">
      <c r="A27" s="62" t="s">
        <v>32</v>
      </c>
      <c r="B27" s="63" t="s">
        <v>33</v>
      </c>
      <c r="C27" s="61">
        <v>3</v>
      </c>
      <c r="D27" s="64">
        <v>2</v>
      </c>
      <c r="E27" s="64">
        <v>3</v>
      </c>
      <c r="F27" s="64" t="s">
        <v>11</v>
      </c>
      <c r="I27" s="95"/>
    </row>
    <row r="28" spans="1:9">
      <c r="A28" s="62" t="s">
        <v>34</v>
      </c>
      <c r="B28" s="63" t="s">
        <v>35</v>
      </c>
      <c r="C28" s="61">
        <v>3</v>
      </c>
      <c r="D28" s="64">
        <v>3</v>
      </c>
      <c r="E28" s="64" t="s">
        <v>13</v>
      </c>
      <c r="F28" s="64" t="s">
        <v>13</v>
      </c>
      <c r="I28" s="95"/>
    </row>
    <row r="29" spans="1:9">
      <c r="A29" s="62" t="s">
        <v>36</v>
      </c>
      <c r="B29" s="63" t="s">
        <v>37</v>
      </c>
      <c r="C29" s="61">
        <v>3</v>
      </c>
      <c r="D29" s="64">
        <v>3</v>
      </c>
      <c r="E29" s="64" t="s">
        <v>13</v>
      </c>
      <c r="F29" s="64" t="s">
        <v>13</v>
      </c>
      <c r="I29" s="95"/>
    </row>
    <row r="30" spans="1:6">
      <c r="A30" s="62" t="s">
        <v>38</v>
      </c>
      <c r="B30" s="63" t="s">
        <v>39</v>
      </c>
      <c r="C30" s="61">
        <v>3</v>
      </c>
      <c r="D30" s="64">
        <v>3</v>
      </c>
      <c r="E30" s="64" t="s">
        <v>13</v>
      </c>
      <c r="F30" s="64" t="s">
        <v>13</v>
      </c>
    </row>
    <row r="31" spans="1:6">
      <c r="A31" s="71" t="s">
        <v>40</v>
      </c>
      <c r="B31" s="72" t="s">
        <v>41</v>
      </c>
      <c r="C31" s="61">
        <v>3</v>
      </c>
      <c r="D31" s="64">
        <v>3</v>
      </c>
      <c r="E31" s="64" t="s">
        <v>13</v>
      </c>
      <c r="F31" s="64" t="s">
        <v>13</v>
      </c>
    </row>
    <row r="32" spans="1:6">
      <c r="A32" s="62" t="s">
        <v>42</v>
      </c>
      <c r="B32" s="72" t="s">
        <v>43</v>
      </c>
      <c r="C32" s="61">
        <v>3</v>
      </c>
      <c r="D32" s="64">
        <v>3</v>
      </c>
      <c r="E32" s="64" t="s">
        <v>13</v>
      </c>
      <c r="F32" s="64" t="s">
        <v>13</v>
      </c>
    </row>
    <row r="33" spans="1:6">
      <c r="A33" s="62" t="s">
        <v>44</v>
      </c>
      <c r="B33" s="62" t="s">
        <v>45</v>
      </c>
      <c r="C33" s="61">
        <v>2</v>
      </c>
      <c r="D33" s="64">
        <v>2</v>
      </c>
      <c r="E33" s="64" t="s">
        <v>13</v>
      </c>
      <c r="F33" s="64" t="s">
        <v>26</v>
      </c>
    </row>
    <row r="34" spans="1:6">
      <c r="A34" s="62" t="s">
        <v>46</v>
      </c>
      <c r="B34" s="62" t="s">
        <v>47</v>
      </c>
      <c r="C34" s="61">
        <v>3</v>
      </c>
      <c r="D34" s="64">
        <v>3</v>
      </c>
      <c r="E34" s="64" t="s">
        <v>13</v>
      </c>
      <c r="F34" s="64" t="s">
        <v>24</v>
      </c>
    </row>
    <row r="35" spans="1:6">
      <c r="A35" s="62"/>
      <c r="B35" s="67" t="s">
        <v>30</v>
      </c>
      <c r="C35" s="61">
        <f>SUM(C27:C34)</f>
        <v>23</v>
      </c>
      <c r="D35" s="64">
        <f>SUM(D27:D34)</f>
        <v>22</v>
      </c>
      <c r="E35" s="64">
        <f>SUM(E27:E34)</f>
        <v>3</v>
      </c>
      <c r="F35" s="64"/>
    </row>
    <row r="36" spans="1:6">
      <c r="A36" s="73"/>
      <c r="B36" s="69"/>
      <c r="C36" s="74"/>
      <c r="D36" s="75"/>
      <c r="E36" s="75"/>
      <c r="F36" s="76"/>
    </row>
    <row r="37" spans="1:6">
      <c r="A37" s="77" t="s">
        <v>48</v>
      </c>
      <c r="B37" s="78"/>
      <c r="C37" s="78"/>
      <c r="D37" s="78"/>
      <c r="E37" s="78"/>
      <c r="F37" s="79"/>
    </row>
    <row r="38" spans="1:6">
      <c r="A38" s="80" t="s">
        <v>4</v>
      </c>
      <c r="B38" s="74"/>
      <c r="C38" s="74"/>
      <c r="D38" s="74"/>
      <c r="E38" s="74"/>
      <c r="F38" s="81"/>
    </row>
    <row r="39" spans="1:6">
      <c r="A39" s="71" t="s">
        <v>49</v>
      </c>
      <c r="B39" s="72" t="s">
        <v>50</v>
      </c>
      <c r="C39" s="82">
        <v>3</v>
      </c>
      <c r="D39" s="83">
        <v>2</v>
      </c>
      <c r="E39" s="83">
        <v>3</v>
      </c>
      <c r="F39" s="83" t="s">
        <v>32</v>
      </c>
    </row>
    <row r="40" spans="1:6">
      <c r="A40" s="71" t="s">
        <v>51</v>
      </c>
      <c r="B40" s="72" t="s">
        <v>52</v>
      </c>
      <c r="C40" s="82">
        <v>3</v>
      </c>
      <c r="D40" s="83">
        <v>3</v>
      </c>
      <c r="E40" s="83" t="s">
        <v>13</v>
      </c>
      <c r="F40" s="83" t="s">
        <v>53</v>
      </c>
    </row>
    <row r="41" spans="1:6">
      <c r="A41" s="71" t="s">
        <v>54</v>
      </c>
      <c r="B41" s="72" t="s">
        <v>55</v>
      </c>
      <c r="C41" s="82">
        <v>3</v>
      </c>
      <c r="D41" s="83">
        <v>3</v>
      </c>
      <c r="E41" s="83" t="s">
        <v>13</v>
      </c>
      <c r="F41" s="83" t="s">
        <v>13</v>
      </c>
    </row>
    <row r="42" spans="1:6">
      <c r="A42" s="71" t="s">
        <v>56</v>
      </c>
      <c r="B42" s="72" t="s">
        <v>57</v>
      </c>
      <c r="C42" s="82">
        <v>3</v>
      </c>
      <c r="D42" s="83">
        <v>3</v>
      </c>
      <c r="E42" s="83" t="s">
        <v>13</v>
      </c>
      <c r="F42" s="83" t="s">
        <v>13</v>
      </c>
    </row>
    <row r="43" spans="1:6">
      <c r="A43" s="71" t="s">
        <v>58</v>
      </c>
      <c r="B43" s="72" t="s">
        <v>59</v>
      </c>
      <c r="C43" s="82">
        <v>3</v>
      </c>
      <c r="D43" s="83">
        <v>2</v>
      </c>
      <c r="E43" s="83">
        <v>3</v>
      </c>
      <c r="F43" s="83" t="s">
        <v>11</v>
      </c>
    </row>
    <row r="44" spans="1:6">
      <c r="A44" s="71" t="s">
        <v>60</v>
      </c>
      <c r="B44" s="84" t="s">
        <v>61</v>
      </c>
      <c r="C44" s="85">
        <v>3</v>
      </c>
      <c r="D44" s="83">
        <v>3</v>
      </c>
      <c r="E44" s="83" t="s">
        <v>13</v>
      </c>
      <c r="F44" s="83" t="s">
        <v>13</v>
      </c>
    </row>
    <row r="45" spans="1:6">
      <c r="A45" s="71" t="s">
        <v>62</v>
      </c>
      <c r="B45" s="72" t="s">
        <v>63</v>
      </c>
      <c r="C45" s="82">
        <v>3</v>
      </c>
      <c r="D45" s="83">
        <v>3</v>
      </c>
      <c r="E45" s="83" t="s">
        <v>13</v>
      </c>
      <c r="F45" s="83" t="s">
        <v>13</v>
      </c>
    </row>
    <row r="46" spans="1:6">
      <c r="A46" s="71" t="s">
        <v>64</v>
      </c>
      <c r="B46" s="71" t="s">
        <v>65</v>
      </c>
      <c r="C46" s="82">
        <v>2</v>
      </c>
      <c r="D46" s="83">
        <v>2</v>
      </c>
      <c r="E46" s="83" t="s">
        <v>13</v>
      </c>
      <c r="F46" s="83" t="s">
        <v>44</v>
      </c>
    </row>
    <row r="47" spans="1:6">
      <c r="A47" s="71"/>
      <c r="B47" s="86" t="s">
        <v>30</v>
      </c>
      <c r="C47" s="82">
        <f>SUM(C39:C46)</f>
        <v>23</v>
      </c>
      <c r="D47" s="83">
        <f>SUM(D39:D46)</f>
        <v>21</v>
      </c>
      <c r="E47" s="83">
        <f>SUM(E39:E46)</f>
        <v>6</v>
      </c>
      <c r="F47" s="83"/>
    </row>
    <row r="48" spans="1:6">
      <c r="A48" s="87" t="s">
        <v>48</v>
      </c>
      <c r="B48" s="88"/>
      <c r="C48" s="88"/>
      <c r="D48" s="88"/>
      <c r="E48" s="88"/>
      <c r="F48" s="89"/>
    </row>
    <row r="49" spans="1:6">
      <c r="A49" s="90" t="s">
        <v>31</v>
      </c>
      <c r="B49" s="91"/>
      <c r="C49" s="91"/>
      <c r="D49" s="91"/>
      <c r="E49" s="91"/>
      <c r="F49" s="92"/>
    </row>
    <row r="50" spans="1:6">
      <c r="A50" s="71" t="s">
        <v>66</v>
      </c>
      <c r="B50" s="72" t="s">
        <v>67</v>
      </c>
      <c r="C50" s="82">
        <v>3</v>
      </c>
      <c r="D50" s="83">
        <v>2</v>
      </c>
      <c r="E50" s="83">
        <v>3</v>
      </c>
      <c r="F50" s="83" t="s">
        <v>49</v>
      </c>
    </row>
    <row r="51" spans="1:6">
      <c r="A51" s="71" t="s">
        <v>68</v>
      </c>
      <c r="B51" s="72" t="s">
        <v>69</v>
      </c>
      <c r="C51" s="82">
        <v>3</v>
      </c>
      <c r="D51" s="83">
        <v>2</v>
      </c>
      <c r="E51" s="83">
        <v>3</v>
      </c>
      <c r="F51" s="83" t="s">
        <v>70</v>
      </c>
    </row>
    <row r="52" spans="1:6">
      <c r="A52" s="71" t="s">
        <v>71</v>
      </c>
      <c r="B52" s="72" t="s">
        <v>72</v>
      </c>
      <c r="C52" s="82">
        <v>3</v>
      </c>
      <c r="D52" s="83">
        <v>3</v>
      </c>
      <c r="E52" s="83" t="s">
        <v>13</v>
      </c>
      <c r="F52" s="83" t="s">
        <v>54</v>
      </c>
    </row>
    <row r="53" spans="1:6">
      <c r="A53" s="71" t="s">
        <v>73</v>
      </c>
      <c r="B53" s="72" t="s">
        <v>74</v>
      </c>
      <c r="C53" s="82">
        <v>3</v>
      </c>
      <c r="D53" s="83">
        <v>2</v>
      </c>
      <c r="E53" s="83">
        <v>3</v>
      </c>
      <c r="F53" s="83" t="s">
        <v>49</v>
      </c>
    </row>
    <row r="54" spans="1:6">
      <c r="A54" s="71" t="s">
        <v>75</v>
      </c>
      <c r="B54" s="72" t="s">
        <v>76</v>
      </c>
      <c r="C54" s="82">
        <v>3</v>
      </c>
      <c r="D54" s="83">
        <v>3</v>
      </c>
      <c r="E54" s="83" t="s">
        <v>13</v>
      </c>
      <c r="F54" s="83" t="s">
        <v>77</v>
      </c>
    </row>
    <row r="55" spans="1:6">
      <c r="A55" s="71" t="s">
        <v>78</v>
      </c>
      <c r="B55" s="72" t="s">
        <v>79</v>
      </c>
      <c r="C55" s="82">
        <v>3</v>
      </c>
      <c r="D55" s="83">
        <v>3</v>
      </c>
      <c r="E55" s="83" t="s">
        <v>13</v>
      </c>
      <c r="F55" s="83" t="s">
        <v>13</v>
      </c>
    </row>
    <row r="56" spans="1:6">
      <c r="A56" s="71" t="s">
        <v>80</v>
      </c>
      <c r="B56" s="72" t="s">
        <v>81</v>
      </c>
      <c r="C56" s="82">
        <v>3</v>
      </c>
      <c r="D56" s="83">
        <v>3</v>
      </c>
      <c r="E56" s="83" t="s">
        <v>13</v>
      </c>
      <c r="F56" s="83" t="s">
        <v>13</v>
      </c>
    </row>
    <row r="57" spans="1:6">
      <c r="A57" s="71" t="s">
        <v>82</v>
      </c>
      <c r="B57" s="72" t="s">
        <v>83</v>
      </c>
      <c r="C57" s="82">
        <v>3</v>
      </c>
      <c r="D57" s="83">
        <v>3</v>
      </c>
      <c r="E57" s="83" t="s">
        <v>13</v>
      </c>
      <c r="F57" s="83" t="s">
        <v>13</v>
      </c>
    </row>
    <row r="58" spans="1:6">
      <c r="A58" s="71" t="s">
        <v>84</v>
      </c>
      <c r="B58" s="71" t="s">
        <v>85</v>
      </c>
      <c r="C58" s="82">
        <v>2</v>
      </c>
      <c r="D58" s="83">
        <v>2</v>
      </c>
      <c r="E58" s="83" t="s">
        <v>13</v>
      </c>
      <c r="F58" s="83" t="s">
        <v>64</v>
      </c>
    </row>
    <row r="59" spans="1:6">
      <c r="A59" s="71"/>
      <c r="B59" s="86" t="s">
        <v>30</v>
      </c>
      <c r="C59" s="82">
        <f>SUM(C50:C58)</f>
        <v>26</v>
      </c>
      <c r="D59" s="83">
        <f>SUM(D50:D58)</f>
        <v>23</v>
      </c>
      <c r="E59" s="83">
        <f>SUM(E50:E58)</f>
        <v>9</v>
      </c>
      <c r="F59" s="83"/>
    </row>
    <row r="60" spans="1:6">
      <c r="A60" s="93"/>
      <c r="B60" s="94"/>
      <c r="C60" s="95"/>
      <c r="D60" s="96"/>
      <c r="E60" s="96"/>
      <c r="F60" s="96"/>
    </row>
    <row r="61" spans="1:6">
      <c r="A61" s="93"/>
      <c r="B61" s="94"/>
      <c r="C61" s="95"/>
      <c r="D61" s="96"/>
      <c r="E61" s="96"/>
      <c r="F61" s="96"/>
    </row>
    <row r="62" spans="1:6">
      <c r="A62" s="97" t="s">
        <v>86</v>
      </c>
      <c r="B62" s="97"/>
      <c r="C62" s="97"/>
      <c r="D62" s="97"/>
      <c r="E62" s="97"/>
      <c r="F62" s="97"/>
    </row>
    <row r="63" spans="1:6">
      <c r="A63" s="90" t="s">
        <v>4</v>
      </c>
      <c r="B63" s="91"/>
      <c r="C63" s="91"/>
      <c r="D63" s="91"/>
      <c r="E63" s="91"/>
      <c r="F63" s="92"/>
    </row>
    <row r="64" spans="1:6">
      <c r="A64" s="82" t="s">
        <v>5</v>
      </c>
      <c r="B64" s="82" t="s">
        <v>6</v>
      </c>
      <c r="C64" s="82" t="s">
        <v>7</v>
      </c>
      <c r="D64" s="82" t="s">
        <v>8</v>
      </c>
      <c r="E64" s="82" t="s">
        <v>9</v>
      </c>
      <c r="F64" s="82" t="s">
        <v>10</v>
      </c>
    </row>
    <row r="65" spans="1:6">
      <c r="A65" s="71" t="s">
        <v>87</v>
      </c>
      <c r="B65" s="72" t="s">
        <v>88</v>
      </c>
      <c r="C65" s="82">
        <v>3</v>
      </c>
      <c r="D65" s="83">
        <v>2</v>
      </c>
      <c r="E65" s="83">
        <v>3</v>
      </c>
      <c r="F65" s="83" t="s">
        <v>66</v>
      </c>
    </row>
    <row r="66" ht="27.6" spans="1:6">
      <c r="A66" s="101" t="s">
        <v>89</v>
      </c>
      <c r="B66" s="102" t="s">
        <v>90</v>
      </c>
      <c r="C66" s="82">
        <v>3</v>
      </c>
      <c r="D66" s="83">
        <v>2</v>
      </c>
      <c r="E66" s="83">
        <v>3</v>
      </c>
      <c r="F66" s="83" t="s">
        <v>49</v>
      </c>
    </row>
    <row r="67" spans="1:6">
      <c r="A67" s="71" t="s">
        <v>91</v>
      </c>
      <c r="B67" s="72" t="s">
        <v>92</v>
      </c>
      <c r="C67" s="82">
        <v>3</v>
      </c>
      <c r="D67" s="83">
        <v>3</v>
      </c>
      <c r="E67" s="83" t="s">
        <v>13</v>
      </c>
      <c r="F67" s="103" t="s">
        <v>56</v>
      </c>
    </row>
    <row r="68" spans="1:6">
      <c r="A68" s="71" t="s">
        <v>93</v>
      </c>
      <c r="B68" s="72" t="s">
        <v>94</v>
      </c>
      <c r="C68" s="82">
        <v>3</v>
      </c>
      <c r="D68" s="83">
        <v>2</v>
      </c>
      <c r="E68" s="83">
        <v>3</v>
      </c>
      <c r="F68" s="83" t="s">
        <v>66</v>
      </c>
    </row>
    <row r="69" spans="1:6">
      <c r="A69" s="71" t="s">
        <v>95</v>
      </c>
      <c r="B69" s="72" t="s">
        <v>96</v>
      </c>
      <c r="C69" s="82">
        <v>3</v>
      </c>
      <c r="D69" s="83">
        <v>3</v>
      </c>
      <c r="E69" s="83" t="s">
        <v>13</v>
      </c>
      <c r="F69" s="83" t="s">
        <v>97</v>
      </c>
    </row>
    <row r="70" spans="1:6">
      <c r="A70" s="71" t="s">
        <v>98</v>
      </c>
      <c r="B70" s="72" t="s">
        <v>99</v>
      </c>
      <c r="C70" s="82">
        <v>3</v>
      </c>
      <c r="D70" s="83">
        <v>3</v>
      </c>
      <c r="E70" s="83" t="s">
        <v>13</v>
      </c>
      <c r="F70" s="83" t="s">
        <v>97</v>
      </c>
    </row>
    <row r="71" spans="1:6">
      <c r="A71" s="71" t="s">
        <v>100</v>
      </c>
      <c r="B71" s="72" t="s">
        <v>101</v>
      </c>
      <c r="C71" s="82">
        <v>3</v>
      </c>
      <c r="D71" s="83">
        <v>2</v>
      </c>
      <c r="E71" s="83" t="s">
        <v>13</v>
      </c>
      <c r="F71" s="83" t="s">
        <v>49</v>
      </c>
    </row>
    <row r="72" spans="1:6">
      <c r="A72" s="71"/>
      <c r="B72" s="86" t="s">
        <v>30</v>
      </c>
      <c r="C72" s="82">
        <f>SUM(C65:C71)</f>
        <v>21</v>
      </c>
      <c r="D72" s="83">
        <f>SUM(D65:D71)</f>
        <v>17</v>
      </c>
      <c r="E72" s="83">
        <f>SUM(E65:E71)</f>
        <v>9</v>
      </c>
      <c r="F72" s="83"/>
    </row>
    <row r="73" spans="1:6">
      <c r="A73" s="90" t="s">
        <v>86</v>
      </c>
      <c r="B73" s="91"/>
      <c r="C73" s="91"/>
      <c r="D73" s="91"/>
      <c r="E73" s="91"/>
      <c r="F73" s="92"/>
    </row>
    <row r="74" spans="1:6">
      <c r="A74" s="90" t="s">
        <v>31</v>
      </c>
      <c r="B74" s="91"/>
      <c r="C74" s="91"/>
      <c r="D74" s="91"/>
      <c r="E74" s="91"/>
      <c r="F74" s="92"/>
    </row>
    <row r="75" spans="1:6">
      <c r="A75" s="71" t="s">
        <v>102</v>
      </c>
      <c r="B75" s="72" t="s">
        <v>103</v>
      </c>
      <c r="C75" s="82">
        <v>3</v>
      </c>
      <c r="D75" s="83">
        <v>3</v>
      </c>
      <c r="E75" s="83" t="s">
        <v>13</v>
      </c>
      <c r="F75" s="83" t="s">
        <v>97</v>
      </c>
    </row>
    <row r="76" spans="1:6">
      <c r="A76" s="71" t="s">
        <v>104</v>
      </c>
      <c r="B76" s="72" t="s">
        <v>105</v>
      </c>
      <c r="C76" s="82">
        <v>3</v>
      </c>
      <c r="D76" s="83">
        <v>3</v>
      </c>
      <c r="E76" s="83" t="s">
        <v>13</v>
      </c>
      <c r="F76" s="83" t="s">
        <v>95</v>
      </c>
    </row>
    <row r="77" spans="1:6">
      <c r="A77" s="71" t="s">
        <v>106</v>
      </c>
      <c r="B77" s="72" t="s">
        <v>107</v>
      </c>
      <c r="C77" s="82">
        <v>3</v>
      </c>
      <c r="D77" s="83">
        <v>2</v>
      </c>
      <c r="E77" s="83">
        <v>3</v>
      </c>
      <c r="F77" s="83" t="s">
        <v>108</v>
      </c>
    </row>
    <row r="78" spans="1:6">
      <c r="A78" s="71" t="s">
        <v>109</v>
      </c>
      <c r="B78" s="72" t="s">
        <v>110</v>
      </c>
      <c r="C78" s="82">
        <v>3</v>
      </c>
      <c r="D78" s="83">
        <v>2</v>
      </c>
      <c r="E78" s="83">
        <v>3</v>
      </c>
      <c r="F78" s="83" t="s">
        <v>111</v>
      </c>
    </row>
    <row r="79" spans="1:6">
      <c r="A79" s="71" t="s">
        <v>112</v>
      </c>
      <c r="B79" s="72" t="s">
        <v>113</v>
      </c>
      <c r="C79" s="82">
        <v>3</v>
      </c>
      <c r="D79" s="83">
        <v>3</v>
      </c>
      <c r="E79" s="83" t="s">
        <v>13</v>
      </c>
      <c r="F79" s="83" t="s">
        <v>114</v>
      </c>
    </row>
    <row r="80" spans="1:6">
      <c r="A80" s="71" t="s">
        <v>115</v>
      </c>
      <c r="B80" s="72" t="s">
        <v>116</v>
      </c>
      <c r="C80" s="82">
        <v>3</v>
      </c>
      <c r="D80" s="83">
        <v>3</v>
      </c>
      <c r="E80" s="83" t="s">
        <v>13</v>
      </c>
      <c r="F80" s="83" t="s">
        <v>11</v>
      </c>
    </row>
    <row r="81" spans="1:6">
      <c r="A81" s="71"/>
      <c r="B81" s="86" t="s">
        <v>30</v>
      </c>
      <c r="C81" s="82">
        <f>SUM(C75:C80)</f>
        <v>18</v>
      </c>
      <c r="D81" s="83"/>
      <c r="E81" s="83"/>
      <c r="F81" s="83"/>
    </row>
    <row r="82" spans="1:6">
      <c r="A82" s="104"/>
      <c r="B82" s="88"/>
      <c r="C82" s="91"/>
      <c r="D82" s="105"/>
      <c r="E82" s="105"/>
      <c r="F82" s="106"/>
    </row>
    <row r="83" spans="1:6">
      <c r="A83" s="107" t="s">
        <v>117</v>
      </c>
      <c r="B83" s="108"/>
      <c r="C83" s="108"/>
      <c r="D83" s="108"/>
      <c r="E83" s="108"/>
      <c r="F83" s="109"/>
    </row>
    <row r="84" spans="1:6">
      <c r="A84" s="90" t="s">
        <v>118</v>
      </c>
      <c r="B84" s="91"/>
      <c r="C84" s="91"/>
      <c r="D84" s="91"/>
      <c r="E84" s="91"/>
      <c r="F84" s="92"/>
    </row>
    <row r="85" spans="1:6">
      <c r="A85" s="71" t="s">
        <v>119</v>
      </c>
      <c r="B85" s="72" t="s">
        <v>120</v>
      </c>
      <c r="C85" s="82">
        <v>3</v>
      </c>
      <c r="D85" s="83">
        <v>3</v>
      </c>
      <c r="E85" s="83" t="s">
        <v>13</v>
      </c>
      <c r="F85" s="83" t="s">
        <v>102</v>
      </c>
    </row>
    <row r="86" spans="1:6">
      <c r="A86" s="71" t="s">
        <v>121</v>
      </c>
      <c r="B86" s="102" t="s">
        <v>122</v>
      </c>
      <c r="C86" s="82">
        <v>3</v>
      </c>
      <c r="D86" s="83">
        <v>3</v>
      </c>
      <c r="E86" s="83" t="s">
        <v>13</v>
      </c>
      <c r="F86" s="83" t="s">
        <v>123</v>
      </c>
    </row>
    <row r="87" spans="1:6">
      <c r="A87" s="71" t="s">
        <v>124</v>
      </c>
      <c r="B87" s="72" t="s">
        <v>125</v>
      </c>
      <c r="C87" s="82">
        <v>3</v>
      </c>
      <c r="D87" s="83">
        <v>3</v>
      </c>
      <c r="E87" s="83" t="s">
        <v>13</v>
      </c>
      <c r="F87" s="83" t="s">
        <v>123</v>
      </c>
    </row>
    <row r="88" spans="1:6">
      <c r="A88" s="71" t="s">
        <v>126</v>
      </c>
      <c r="B88" s="72" t="s">
        <v>127</v>
      </c>
      <c r="C88" s="82">
        <v>3</v>
      </c>
      <c r="D88" s="83">
        <v>3</v>
      </c>
      <c r="E88" s="83"/>
      <c r="F88" s="83" t="s">
        <v>114</v>
      </c>
    </row>
    <row r="89" spans="1:6">
      <c r="A89" s="62"/>
      <c r="B89" s="67" t="s">
        <v>30</v>
      </c>
      <c r="C89" s="61">
        <f>SUM(C85:C88)</f>
        <v>12</v>
      </c>
      <c r="D89" s="64"/>
      <c r="E89" s="64"/>
      <c r="F89" s="64"/>
    </row>
    <row r="90" spans="1:6">
      <c r="A90" s="80" t="s">
        <v>117</v>
      </c>
      <c r="B90" s="74"/>
      <c r="C90" s="74"/>
      <c r="D90" s="74"/>
      <c r="E90" s="74"/>
      <c r="F90" s="81"/>
    </row>
    <row r="91" spans="1:6">
      <c r="A91" s="80" t="s">
        <v>128</v>
      </c>
      <c r="B91" s="74"/>
      <c r="C91" s="74"/>
      <c r="D91" s="74"/>
      <c r="E91" s="74"/>
      <c r="F91" s="81"/>
    </row>
    <row r="92" ht="41.4" spans="1:6">
      <c r="A92" s="64" t="s">
        <v>129</v>
      </c>
      <c r="B92" s="110" t="s">
        <v>130</v>
      </c>
      <c r="C92" s="61">
        <v>6</v>
      </c>
      <c r="D92" s="64" t="s">
        <v>13</v>
      </c>
      <c r="E92" s="64">
        <v>486</v>
      </c>
      <c r="F92" s="111" t="s">
        <v>131</v>
      </c>
    </row>
    <row r="93" spans="1:6">
      <c r="A93" s="62"/>
      <c r="B93" s="67" t="s">
        <v>30</v>
      </c>
      <c r="C93" s="61">
        <f>SUM(C92)</f>
        <v>6</v>
      </c>
      <c r="D93" s="64"/>
      <c r="E93" s="64"/>
      <c r="F93" s="64"/>
    </row>
    <row r="94" spans="3:6">
      <c r="C94" s="43"/>
      <c r="D94" s="43"/>
      <c r="E94" s="44"/>
      <c r="F94" s="44"/>
    </row>
    <row r="95" spans="2:5">
      <c r="B95" s="45" t="s">
        <v>132</v>
      </c>
      <c r="C95" s="46" t="s">
        <v>133</v>
      </c>
      <c r="D95" s="47"/>
      <c r="E95" s="48"/>
    </row>
    <row r="96" spans="2:6">
      <c r="B96" s="112" t="s">
        <v>134</v>
      </c>
      <c r="C96" s="50">
        <v>39</v>
      </c>
      <c r="D96" s="50"/>
      <c r="E96" s="50"/>
      <c r="F96" s="44"/>
    </row>
    <row r="97" spans="2:6">
      <c r="B97" s="112" t="s">
        <v>135</v>
      </c>
      <c r="C97" s="50">
        <v>18</v>
      </c>
      <c r="D97" s="50"/>
      <c r="E97" s="50"/>
      <c r="F97" s="44"/>
    </row>
    <row r="98" spans="2:6">
      <c r="B98" s="112" t="s">
        <v>136</v>
      </c>
      <c r="C98" s="50">
        <v>51</v>
      </c>
      <c r="D98" s="50"/>
      <c r="E98" s="50"/>
      <c r="F98" s="44"/>
    </row>
    <row r="99" spans="2:6">
      <c r="B99" s="112" t="s">
        <v>137</v>
      </c>
      <c r="C99" s="50">
        <v>27</v>
      </c>
      <c r="D99" s="50"/>
      <c r="E99" s="50"/>
      <c r="F99" s="44"/>
    </row>
    <row r="100" spans="2:6">
      <c r="B100" s="112" t="s">
        <v>138</v>
      </c>
      <c r="C100" s="50">
        <v>1</v>
      </c>
      <c r="D100" s="50"/>
      <c r="E100" s="50"/>
      <c r="F100" s="44"/>
    </row>
    <row r="101" spans="2:6">
      <c r="B101" s="112" t="s">
        <v>139</v>
      </c>
      <c r="C101" s="50">
        <v>8</v>
      </c>
      <c r="D101" s="50"/>
      <c r="E101" s="50"/>
      <c r="F101" s="44"/>
    </row>
    <row r="102" spans="2:6">
      <c r="B102" s="112" t="s">
        <v>140</v>
      </c>
      <c r="C102" s="50">
        <v>6</v>
      </c>
      <c r="D102" s="50"/>
      <c r="E102" s="50"/>
      <c r="F102" s="44"/>
    </row>
    <row r="103" spans="2:6">
      <c r="B103" s="54" t="s">
        <v>141</v>
      </c>
      <c r="C103" s="50">
        <v>151</v>
      </c>
      <c r="D103" s="50"/>
      <c r="E103" s="50"/>
      <c r="F103" s="44"/>
    </row>
    <row r="104" spans="1:1">
      <c r="A104" t="s">
        <v>142</v>
      </c>
    </row>
    <row r="107" spans="1:2">
      <c r="A107" s="55" t="s">
        <v>143</v>
      </c>
      <c r="B107" s="55"/>
    </row>
    <row r="108" spans="1:1">
      <c r="A108" t="s">
        <v>144</v>
      </c>
    </row>
    <row r="110" spans="1:1">
      <c r="A110" t="s">
        <v>145</v>
      </c>
    </row>
    <row r="111" spans="3:3">
      <c r="C111" t="s">
        <v>146</v>
      </c>
    </row>
    <row r="113" spans="1:2">
      <c r="A113" s="55" t="s">
        <v>147</v>
      </c>
      <c r="B113" s="55"/>
    </row>
    <row r="114" spans="1:6">
      <c r="A114" t="s">
        <v>148</v>
      </c>
      <c r="C114" s="56" t="s">
        <v>149</v>
      </c>
      <c r="D114" s="56"/>
      <c r="E114" s="56"/>
      <c r="F114" s="56"/>
    </row>
    <row r="115" spans="3:6">
      <c r="C115" s="44" t="s">
        <v>150</v>
      </c>
      <c r="D115" s="44"/>
      <c r="E115" s="44"/>
      <c r="F115" s="44"/>
    </row>
  </sheetData>
  <mergeCells count="31">
    <mergeCell ref="A8:F8"/>
    <mergeCell ref="A9:F9"/>
    <mergeCell ref="A10:F10"/>
    <mergeCell ref="A12:F12"/>
    <mergeCell ref="A13:F13"/>
    <mergeCell ref="A25:F25"/>
    <mergeCell ref="A26:F26"/>
    <mergeCell ref="A37:F37"/>
    <mergeCell ref="A38:F38"/>
    <mergeCell ref="A48:F48"/>
    <mergeCell ref="A49:F49"/>
    <mergeCell ref="A62:F62"/>
    <mergeCell ref="A63:F63"/>
    <mergeCell ref="A73:F73"/>
    <mergeCell ref="A74:F74"/>
    <mergeCell ref="A83:F83"/>
    <mergeCell ref="A84:F84"/>
    <mergeCell ref="A90:F90"/>
    <mergeCell ref="A91:F91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14:F114"/>
    <mergeCell ref="C115:F115"/>
    <mergeCell ref="A1:F7"/>
  </mergeCells>
  <pageMargins left="0.511811023622047" right="0.511811023622047" top="0.47244094488189" bottom="0.590551181102362" header="0.31496062992126" footer="0.31496062992126"/>
  <pageSetup paperSize="5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zoomScale="70" zoomScaleNormal="70" topLeftCell="A32" workbookViewId="0">
      <selection activeCell="N24" sqref="N24"/>
    </sheetView>
  </sheetViews>
  <sheetFormatPr defaultColWidth="9" defaultRowHeight="14.4" outlineLevelCol="5"/>
  <cols>
    <col min="1" max="1" width="13.4444444444444" customWidth="1"/>
    <col min="2" max="2" width="49.3333333333333" customWidth="1"/>
    <col min="3" max="3" width="6.11111111111111" customWidth="1"/>
    <col min="4" max="4" width="5.66666666666667" customWidth="1"/>
    <col min="5" max="5" width="5.11111111111111" customWidth="1"/>
    <col min="6" max="6" width="13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ht="17.4" spans="1:6">
      <c r="A9" s="2" t="s">
        <v>151</v>
      </c>
      <c r="B9" s="2"/>
      <c r="C9" s="2"/>
      <c r="D9" s="2"/>
      <c r="E9" s="2"/>
      <c r="F9" s="2"/>
    </row>
    <row r="10" spans="1:6">
      <c r="A10" s="3" t="s">
        <v>152</v>
      </c>
      <c r="B10" s="3"/>
      <c r="C10" s="3"/>
      <c r="D10" s="3"/>
      <c r="E10" s="3"/>
      <c r="F10" s="3"/>
    </row>
    <row r="11" spans="1:6">
      <c r="A11" s="4" t="s">
        <v>1</v>
      </c>
      <c r="B11" s="4"/>
      <c r="C11" s="4"/>
      <c r="D11" s="4"/>
      <c r="E11" s="4"/>
      <c r="F11" s="4"/>
    </row>
    <row r="12" spans="1:6">
      <c r="A12" s="5" t="s">
        <v>153</v>
      </c>
      <c r="B12" s="5"/>
      <c r="C12" s="5"/>
      <c r="D12" s="5"/>
      <c r="E12" s="5"/>
      <c r="F12" s="5"/>
    </row>
    <row r="14" spans="1:6">
      <c r="A14" s="6" t="s">
        <v>3</v>
      </c>
      <c r="B14" s="6"/>
      <c r="C14" s="6"/>
      <c r="D14" s="6"/>
      <c r="E14" s="6"/>
      <c r="F14" s="6"/>
    </row>
    <row r="15" spans="1:6">
      <c r="A15" s="7" t="s">
        <v>4</v>
      </c>
      <c r="B15" s="7"/>
      <c r="C15" s="7"/>
      <c r="D15" s="7"/>
      <c r="E15" s="7"/>
      <c r="F15" s="7"/>
    </row>
    <row r="16" spans="1:6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</row>
    <row r="17" spans="1:6">
      <c r="A17" s="8" t="s">
        <v>154</v>
      </c>
      <c r="B17" s="8" t="s">
        <v>155</v>
      </c>
      <c r="C17" s="7">
        <v>3</v>
      </c>
      <c r="D17" s="9">
        <v>3</v>
      </c>
      <c r="E17" s="7"/>
      <c r="F17" s="9" t="s">
        <v>13</v>
      </c>
    </row>
    <row r="18" spans="1:6">
      <c r="A18" s="10" t="s">
        <v>14</v>
      </c>
      <c r="B18" s="10" t="s">
        <v>15</v>
      </c>
      <c r="C18" s="7">
        <v>3</v>
      </c>
      <c r="D18" s="9">
        <v>3</v>
      </c>
      <c r="E18" s="9" t="s">
        <v>13</v>
      </c>
      <c r="F18" s="9" t="s">
        <v>13</v>
      </c>
    </row>
    <row r="19" spans="1:6">
      <c r="A19" s="10" t="s">
        <v>16</v>
      </c>
      <c r="B19" s="10" t="s">
        <v>17</v>
      </c>
      <c r="C19" s="7">
        <v>3</v>
      </c>
      <c r="D19" s="9">
        <v>3</v>
      </c>
      <c r="E19" s="9" t="s">
        <v>13</v>
      </c>
      <c r="F19" s="9" t="s">
        <v>13</v>
      </c>
    </row>
    <row r="20" spans="1:6">
      <c r="A20" s="10" t="s">
        <v>18</v>
      </c>
      <c r="B20" s="10" t="s">
        <v>19</v>
      </c>
      <c r="C20" s="7">
        <v>3</v>
      </c>
      <c r="D20" s="9">
        <v>3</v>
      </c>
      <c r="E20" s="9" t="s">
        <v>13</v>
      </c>
      <c r="F20" s="9" t="s">
        <v>13</v>
      </c>
    </row>
    <row r="21" spans="1:6">
      <c r="A21" s="10" t="s">
        <v>20</v>
      </c>
      <c r="B21" s="10" t="s">
        <v>21</v>
      </c>
      <c r="C21" s="7">
        <v>3</v>
      </c>
      <c r="D21" s="9">
        <v>3</v>
      </c>
      <c r="E21" s="9" t="s">
        <v>13</v>
      </c>
      <c r="F21" s="9" t="s">
        <v>13</v>
      </c>
    </row>
    <row r="22" spans="1:6">
      <c r="A22" s="11" t="s">
        <v>22</v>
      </c>
      <c r="B22" s="10" t="s">
        <v>23</v>
      </c>
      <c r="C22" s="12">
        <v>3</v>
      </c>
      <c r="D22" s="13">
        <v>3</v>
      </c>
      <c r="E22" s="13" t="s">
        <v>13</v>
      </c>
      <c r="F22" s="14" t="s">
        <v>13</v>
      </c>
    </row>
    <row r="23" spans="1:6">
      <c r="A23" s="10" t="s">
        <v>24</v>
      </c>
      <c r="B23" s="10" t="s">
        <v>156</v>
      </c>
      <c r="C23" s="7">
        <v>3</v>
      </c>
      <c r="D23" s="9">
        <v>3</v>
      </c>
      <c r="E23" s="9" t="s">
        <v>13</v>
      </c>
      <c r="F23" s="9" t="s">
        <v>13</v>
      </c>
    </row>
    <row r="24" ht="27.6" spans="1:6">
      <c r="A24" s="8" t="s">
        <v>26</v>
      </c>
      <c r="B24" s="15" t="s">
        <v>157</v>
      </c>
      <c r="C24" s="7">
        <v>2</v>
      </c>
      <c r="D24" s="9">
        <v>2</v>
      </c>
      <c r="E24" s="9" t="s">
        <v>13</v>
      </c>
      <c r="F24" s="9" t="s">
        <v>13</v>
      </c>
    </row>
    <row r="25" spans="1:6">
      <c r="A25" s="10"/>
      <c r="B25" s="10" t="s">
        <v>158</v>
      </c>
      <c r="C25" s="16" t="s">
        <v>159</v>
      </c>
      <c r="D25" s="16" t="s">
        <v>159</v>
      </c>
      <c r="E25" s="9"/>
      <c r="F25" s="9"/>
    </row>
    <row r="26" spans="1:6">
      <c r="A26" s="10"/>
      <c r="B26" s="17" t="s">
        <v>30</v>
      </c>
      <c r="C26" s="7">
        <f>SUM(C17:C25)</f>
        <v>23</v>
      </c>
      <c r="D26" s="9">
        <f>SUM(D17:D24)</f>
        <v>23</v>
      </c>
      <c r="E26" s="9">
        <v>3</v>
      </c>
      <c r="F26" s="9"/>
    </row>
    <row r="27" spans="1:6">
      <c r="A27" s="18" t="s">
        <v>3</v>
      </c>
      <c r="B27" s="19"/>
      <c r="C27" s="19"/>
      <c r="D27" s="19"/>
      <c r="E27" s="19"/>
      <c r="F27" s="20"/>
    </row>
    <row r="28" spans="1:6">
      <c r="A28" s="21" t="s">
        <v>31</v>
      </c>
      <c r="B28" s="22"/>
      <c r="C28" s="22"/>
      <c r="D28" s="22"/>
      <c r="E28" s="22"/>
      <c r="F28" s="23"/>
    </row>
    <row r="29" spans="1:6">
      <c r="A29" s="10" t="s">
        <v>160</v>
      </c>
      <c r="B29" s="10" t="s">
        <v>161</v>
      </c>
      <c r="C29" s="7">
        <v>3</v>
      </c>
      <c r="D29" s="9">
        <v>3</v>
      </c>
      <c r="E29" s="9" t="s">
        <v>13</v>
      </c>
      <c r="F29" s="9" t="s">
        <v>154</v>
      </c>
    </row>
    <row r="30" spans="1:6">
      <c r="A30" s="10" t="s">
        <v>34</v>
      </c>
      <c r="B30" s="10" t="s">
        <v>39</v>
      </c>
      <c r="C30" s="7">
        <v>3</v>
      </c>
      <c r="D30" s="9">
        <v>3</v>
      </c>
      <c r="E30" s="9" t="s">
        <v>13</v>
      </c>
      <c r="F30" s="9" t="s">
        <v>13</v>
      </c>
    </row>
    <row r="31" spans="1:6">
      <c r="A31" s="10" t="s">
        <v>36</v>
      </c>
      <c r="B31" s="24" t="s">
        <v>162</v>
      </c>
      <c r="C31" s="7">
        <v>3</v>
      </c>
      <c r="D31" s="9">
        <v>3</v>
      </c>
      <c r="E31" s="9" t="s">
        <v>13</v>
      </c>
      <c r="F31" s="9" t="s">
        <v>16</v>
      </c>
    </row>
    <row r="32" spans="1:6">
      <c r="A32" s="10" t="s">
        <v>38</v>
      </c>
      <c r="B32" s="10" t="s">
        <v>37</v>
      </c>
      <c r="C32" s="7">
        <v>3</v>
      </c>
      <c r="D32" s="9">
        <v>3</v>
      </c>
      <c r="E32" s="9" t="s">
        <v>13</v>
      </c>
      <c r="F32" s="9" t="s">
        <v>13</v>
      </c>
    </row>
    <row r="33" spans="1:6">
      <c r="A33" s="10" t="s">
        <v>42</v>
      </c>
      <c r="B33" s="10" t="s">
        <v>35</v>
      </c>
      <c r="C33" s="7">
        <v>3</v>
      </c>
      <c r="D33" s="9">
        <v>3</v>
      </c>
      <c r="E33" s="9" t="s">
        <v>13</v>
      </c>
      <c r="F33" s="9" t="s">
        <v>13</v>
      </c>
    </row>
    <row r="34" spans="1:6">
      <c r="A34" s="10" t="s">
        <v>163</v>
      </c>
      <c r="B34" s="10" t="s">
        <v>164</v>
      </c>
      <c r="C34" s="7">
        <v>3</v>
      </c>
      <c r="D34" s="9">
        <v>3</v>
      </c>
      <c r="E34" s="9" t="s">
        <v>13</v>
      </c>
      <c r="F34" s="9" t="s">
        <v>13</v>
      </c>
    </row>
    <row r="35" ht="27.6" spans="1:6">
      <c r="A35" s="8" t="s">
        <v>44</v>
      </c>
      <c r="B35" s="25" t="s">
        <v>165</v>
      </c>
      <c r="C35" s="7">
        <v>2</v>
      </c>
      <c r="D35" s="9">
        <v>2</v>
      </c>
      <c r="E35" s="9" t="s">
        <v>13</v>
      </c>
      <c r="F35" s="9" t="s">
        <v>26</v>
      </c>
    </row>
    <row r="36" spans="1:6">
      <c r="A36" s="10" t="s">
        <v>46</v>
      </c>
      <c r="B36" s="10" t="s">
        <v>166</v>
      </c>
      <c r="C36" s="7">
        <v>3</v>
      </c>
      <c r="D36" s="9">
        <v>3</v>
      </c>
      <c r="E36" s="9" t="s">
        <v>13</v>
      </c>
      <c r="F36" s="9" t="s">
        <v>24</v>
      </c>
    </row>
    <row r="37" spans="1:6">
      <c r="A37" s="10"/>
      <c r="B37" s="17" t="s">
        <v>30</v>
      </c>
      <c r="C37" s="7">
        <f>SUM(C29:C36)</f>
        <v>23</v>
      </c>
      <c r="D37" s="9">
        <f>SUM(D29:D36)</f>
        <v>23</v>
      </c>
      <c r="E37" s="9">
        <f>SUM(E29:E36)</f>
        <v>0</v>
      </c>
      <c r="F37" s="9"/>
    </row>
    <row r="38" spans="1:6">
      <c r="A38" s="26" t="s">
        <v>48</v>
      </c>
      <c r="B38" s="27"/>
      <c r="C38" s="27"/>
      <c r="D38" s="27"/>
      <c r="E38" s="27"/>
      <c r="F38" s="28"/>
    </row>
    <row r="39" spans="1:6">
      <c r="A39" s="21" t="s">
        <v>4</v>
      </c>
      <c r="B39" s="22"/>
      <c r="C39" s="22"/>
      <c r="D39" s="22"/>
      <c r="E39" s="22"/>
      <c r="F39" s="23"/>
    </row>
    <row r="40" spans="1:6">
      <c r="A40" s="10" t="s">
        <v>167</v>
      </c>
      <c r="B40" s="10" t="s">
        <v>168</v>
      </c>
      <c r="C40" s="7">
        <v>3</v>
      </c>
      <c r="D40" s="9">
        <v>3</v>
      </c>
      <c r="E40" s="9" t="s">
        <v>13</v>
      </c>
      <c r="F40" s="9" t="s">
        <v>13</v>
      </c>
    </row>
    <row r="41" spans="1:6">
      <c r="A41" s="10" t="s">
        <v>62</v>
      </c>
      <c r="B41" s="10" t="s">
        <v>63</v>
      </c>
      <c r="C41" s="7">
        <v>3</v>
      </c>
      <c r="D41" s="9">
        <v>3</v>
      </c>
      <c r="E41" s="9" t="s">
        <v>13</v>
      </c>
      <c r="F41" s="9" t="s">
        <v>13</v>
      </c>
    </row>
    <row r="42" spans="1:6">
      <c r="A42" s="10" t="s">
        <v>78</v>
      </c>
      <c r="B42" s="10" t="s">
        <v>79</v>
      </c>
      <c r="C42" s="7">
        <v>3</v>
      </c>
      <c r="D42" s="9">
        <v>3</v>
      </c>
      <c r="E42" s="9" t="s">
        <v>13</v>
      </c>
      <c r="F42" s="9" t="s">
        <v>13</v>
      </c>
    </row>
    <row r="43" spans="1:6">
      <c r="A43" s="10" t="s">
        <v>80</v>
      </c>
      <c r="B43" s="10" t="s">
        <v>169</v>
      </c>
      <c r="C43" s="7">
        <v>3</v>
      </c>
      <c r="D43" s="9">
        <v>3</v>
      </c>
      <c r="E43" s="9" t="s">
        <v>13</v>
      </c>
      <c r="F43" s="9" t="s">
        <v>13</v>
      </c>
    </row>
    <row r="44" spans="1:6">
      <c r="A44" s="10" t="s">
        <v>82</v>
      </c>
      <c r="B44" s="10" t="s">
        <v>170</v>
      </c>
      <c r="C44" s="7">
        <v>3</v>
      </c>
      <c r="D44" s="9">
        <v>3</v>
      </c>
      <c r="E44" s="9" t="s">
        <v>13</v>
      </c>
      <c r="F44" s="9" t="s">
        <v>13</v>
      </c>
    </row>
    <row r="45" spans="1:6">
      <c r="A45" s="10" t="s">
        <v>171</v>
      </c>
      <c r="B45" s="10" t="s">
        <v>172</v>
      </c>
      <c r="C45" s="7">
        <v>3</v>
      </c>
      <c r="D45" s="9">
        <v>3</v>
      </c>
      <c r="E45" s="9" t="s">
        <v>13</v>
      </c>
      <c r="F45" s="9" t="s">
        <v>154</v>
      </c>
    </row>
    <row r="46" spans="1:6">
      <c r="A46" s="10" t="s">
        <v>173</v>
      </c>
      <c r="B46" s="10" t="s">
        <v>174</v>
      </c>
      <c r="C46" s="7">
        <v>3</v>
      </c>
      <c r="D46" s="9">
        <v>3</v>
      </c>
      <c r="E46" s="9" t="s">
        <v>13</v>
      </c>
      <c r="F46" s="9" t="s">
        <v>13</v>
      </c>
    </row>
    <row r="47" ht="27.6" spans="1:6">
      <c r="A47" s="8" t="s">
        <v>64</v>
      </c>
      <c r="B47" s="15" t="s">
        <v>175</v>
      </c>
      <c r="C47" s="7">
        <v>2</v>
      </c>
      <c r="D47" s="9">
        <v>2</v>
      </c>
      <c r="E47" s="9" t="s">
        <v>13</v>
      </c>
      <c r="F47" s="9" t="s">
        <v>44</v>
      </c>
    </row>
    <row r="48" spans="1:6">
      <c r="A48" s="10"/>
      <c r="B48" s="17" t="s">
        <v>30</v>
      </c>
      <c r="C48" s="7">
        <f>SUM(C40:C47)</f>
        <v>23</v>
      </c>
      <c r="D48" s="9"/>
      <c r="E48" s="9"/>
      <c r="F48" s="9"/>
    </row>
    <row r="49" spans="1:6">
      <c r="A49" s="18" t="s">
        <v>48</v>
      </c>
      <c r="B49" s="19"/>
      <c r="C49" s="19"/>
      <c r="D49" s="19"/>
      <c r="E49" s="19"/>
      <c r="F49" s="20"/>
    </row>
    <row r="50" spans="1:6">
      <c r="A50" s="21" t="s">
        <v>31</v>
      </c>
      <c r="B50" s="22"/>
      <c r="C50" s="22"/>
      <c r="D50" s="22"/>
      <c r="E50" s="22"/>
      <c r="F50" s="23"/>
    </row>
    <row r="51" spans="1:6">
      <c r="A51" s="10" t="s">
        <v>176</v>
      </c>
      <c r="B51" s="8" t="s">
        <v>177</v>
      </c>
      <c r="C51" s="7">
        <v>3</v>
      </c>
      <c r="D51" s="9">
        <v>3</v>
      </c>
      <c r="E51" s="9" t="s">
        <v>13</v>
      </c>
      <c r="F51" s="9" t="s">
        <v>13</v>
      </c>
    </row>
    <row r="52" spans="1:6">
      <c r="A52" s="29" t="s">
        <v>178</v>
      </c>
      <c r="B52" s="10" t="s">
        <v>179</v>
      </c>
      <c r="C52" s="17">
        <v>3</v>
      </c>
      <c r="D52" s="30">
        <v>3</v>
      </c>
      <c r="E52" s="30">
        <f>-G53</f>
        <v>0</v>
      </c>
      <c r="F52" s="30" t="s">
        <v>154</v>
      </c>
    </row>
    <row r="53" spans="1:6">
      <c r="A53" s="29" t="s">
        <v>180</v>
      </c>
      <c r="B53" s="8" t="s">
        <v>181</v>
      </c>
      <c r="C53" s="17">
        <v>3</v>
      </c>
      <c r="D53" s="30">
        <v>3</v>
      </c>
      <c r="E53" s="30" t="s">
        <v>13</v>
      </c>
      <c r="F53" s="30" t="s">
        <v>13</v>
      </c>
    </row>
    <row r="54" spans="1:6">
      <c r="A54" s="29" t="s">
        <v>182</v>
      </c>
      <c r="B54" s="10" t="s">
        <v>183</v>
      </c>
      <c r="C54" s="17">
        <v>3</v>
      </c>
      <c r="D54" s="30">
        <v>3</v>
      </c>
      <c r="E54" s="31" t="s">
        <v>13</v>
      </c>
      <c r="F54" s="30" t="s">
        <v>13</v>
      </c>
    </row>
    <row r="55" spans="1:6">
      <c r="A55" s="10" t="s">
        <v>184</v>
      </c>
      <c r="B55" s="10" t="s">
        <v>185</v>
      </c>
      <c r="C55" s="7">
        <v>3</v>
      </c>
      <c r="D55" s="9">
        <v>3</v>
      </c>
      <c r="E55" s="9" t="s">
        <v>13</v>
      </c>
      <c r="F55" s="32" t="s">
        <v>154</v>
      </c>
    </row>
    <row r="56" spans="1:6">
      <c r="A56" s="10" t="s">
        <v>186</v>
      </c>
      <c r="B56" s="10" t="s">
        <v>187</v>
      </c>
      <c r="C56" s="7">
        <v>3</v>
      </c>
      <c r="D56" s="9">
        <v>3</v>
      </c>
      <c r="E56" s="9" t="s">
        <v>13</v>
      </c>
      <c r="F56" s="9" t="s">
        <v>13</v>
      </c>
    </row>
    <row r="57" spans="1:6">
      <c r="A57" s="10" t="s">
        <v>188</v>
      </c>
      <c r="B57" s="10" t="s">
        <v>189</v>
      </c>
      <c r="C57" s="7">
        <v>3</v>
      </c>
      <c r="D57" s="9">
        <v>3</v>
      </c>
      <c r="E57" s="10" t="s">
        <v>13</v>
      </c>
      <c r="F57" s="9" t="s">
        <v>13</v>
      </c>
    </row>
    <row r="58" ht="27.6" spans="1:6">
      <c r="A58" s="8" t="s">
        <v>84</v>
      </c>
      <c r="B58" s="15" t="s">
        <v>190</v>
      </c>
      <c r="C58" s="7">
        <v>2</v>
      </c>
      <c r="D58" s="9">
        <v>2</v>
      </c>
      <c r="E58" s="9" t="s">
        <v>13</v>
      </c>
      <c r="F58" s="9" t="s">
        <v>64</v>
      </c>
    </row>
    <row r="59" spans="1:6">
      <c r="A59" s="10"/>
      <c r="B59" s="17" t="s">
        <v>30</v>
      </c>
      <c r="C59" s="7">
        <f>SUM(C51:C58)</f>
        <v>23</v>
      </c>
      <c r="D59" s="9"/>
      <c r="E59" s="9"/>
      <c r="F59" s="9"/>
    </row>
    <row r="60" spans="1:6">
      <c r="A60" s="33"/>
      <c r="B60" s="34"/>
      <c r="C60" s="35"/>
      <c r="D60" s="4"/>
      <c r="E60" s="4"/>
      <c r="F60" s="4"/>
    </row>
    <row r="61" spans="1:6">
      <c r="A61" s="33"/>
      <c r="B61" s="34"/>
      <c r="C61" s="35"/>
      <c r="D61" s="4"/>
      <c r="E61" s="4"/>
      <c r="F61" s="4"/>
    </row>
    <row r="62" spans="1:6">
      <c r="A62" s="36" t="s">
        <v>86</v>
      </c>
      <c r="B62" s="36"/>
      <c r="C62" s="36"/>
      <c r="D62" s="36"/>
      <c r="E62" s="36"/>
      <c r="F62" s="36"/>
    </row>
    <row r="63" spans="1:6">
      <c r="A63" s="21" t="s">
        <v>4</v>
      </c>
      <c r="B63" s="22"/>
      <c r="C63" s="22"/>
      <c r="D63" s="22"/>
      <c r="E63" s="22"/>
      <c r="F63" s="23"/>
    </row>
    <row r="64" spans="1:6">
      <c r="A64" s="7" t="s">
        <v>5</v>
      </c>
      <c r="B64" s="7" t="s">
        <v>6</v>
      </c>
      <c r="C64" s="7" t="s">
        <v>7</v>
      </c>
      <c r="D64" s="7" t="s">
        <v>8</v>
      </c>
      <c r="E64" s="7" t="s">
        <v>9</v>
      </c>
      <c r="F64" s="7" t="s">
        <v>10</v>
      </c>
    </row>
    <row r="65" spans="1:6">
      <c r="A65" s="10" t="s">
        <v>191</v>
      </c>
      <c r="B65" s="10" t="s">
        <v>192</v>
      </c>
      <c r="C65" s="7">
        <v>3</v>
      </c>
      <c r="D65" s="9">
        <v>3</v>
      </c>
      <c r="E65" s="9" t="s">
        <v>13</v>
      </c>
      <c r="F65" s="9" t="s">
        <v>154</v>
      </c>
    </row>
    <row r="66" spans="1:6">
      <c r="A66" s="10" t="s">
        <v>193</v>
      </c>
      <c r="B66" s="10" t="s">
        <v>194</v>
      </c>
      <c r="C66" s="7">
        <v>3</v>
      </c>
      <c r="D66" s="9">
        <v>3</v>
      </c>
      <c r="E66" s="9" t="s">
        <v>13</v>
      </c>
      <c r="F66" s="9" t="s">
        <v>154</v>
      </c>
    </row>
    <row r="67" spans="1:6">
      <c r="A67" s="10" t="s">
        <v>195</v>
      </c>
      <c r="B67" s="10" t="s">
        <v>196</v>
      </c>
      <c r="C67" s="7">
        <v>3</v>
      </c>
      <c r="D67" s="9">
        <v>3</v>
      </c>
      <c r="E67" s="9" t="s">
        <v>13</v>
      </c>
      <c r="F67" s="9" t="s">
        <v>13</v>
      </c>
    </row>
    <row r="68" spans="1:6">
      <c r="A68" s="10" t="s">
        <v>197</v>
      </c>
      <c r="B68" s="10" t="s">
        <v>198</v>
      </c>
      <c r="C68" s="7">
        <v>3</v>
      </c>
      <c r="D68" s="9">
        <v>3</v>
      </c>
      <c r="E68" s="9" t="s">
        <v>13</v>
      </c>
      <c r="F68" s="9" t="s">
        <v>160</v>
      </c>
    </row>
    <row r="69" spans="1:6">
      <c r="A69" s="10" t="s">
        <v>199</v>
      </c>
      <c r="B69" s="10" t="s">
        <v>200</v>
      </c>
      <c r="C69" s="7">
        <v>3</v>
      </c>
      <c r="D69" s="9">
        <v>3</v>
      </c>
      <c r="E69" s="32" t="s">
        <v>13</v>
      </c>
      <c r="F69" s="9" t="s">
        <v>13</v>
      </c>
    </row>
    <row r="70" spans="1:6">
      <c r="A70" s="10" t="s">
        <v>201</v>
      </c>
      <c r="B70" s="10" t="s">
        <v>202</v>
      </c>
      <c r="C70" s="7">
        <v>3</v>
      </c>
      <c r="D70" s="9">
        <v>3</v>
      </c>
      <c r="E70" s="32" t="s">
        <v>13</v>
      </c>
      <c r="F70" s="9" t="s">
        <v>13</v>
      </c>
    </row>
    <row r="71" spans="1:6">
      <c r="A71" s="10" t="s">
        <v>203</v>
      </c>
      <c r="B71" s="10" t="s">
        <v>204</v>
      </c>
      <c r="C71" s="7">
        <v>3</v>
      </c>
      <c r="D71" s="9">
        <v>3</v>
      </c>
      <c r="E71" s="9" t="s">
        <v>13</v>
      </c>
      <c r="F71" s="9" t="s">
        <v>13</v>
      </c>
    </row>
    <row r="72" spans="1:6">
      <c r="A72" s="10"/>
      <c r="B72" s="17" t="s">
        <v>30</v>
      </c>
      <c r="C72" s="7">
        <f>SUM(C65:C71)</f>
        <v>21</v>
      </c>
      <c r="D72" s="9"/>
      <c r="E72" s="9"/>
      <c r="F72" s="9"/>
    </row>
    <row r="73" spans="1:6">
      <c r="A73" s="10"/>
      <c r="B73" s="10"/>
      <c r="C73" s="7"/>
      <c r="D73" s="9"/>
      <c r="E73" s="9"/>
      <c r="F73" s="9"/>
    </row>
    <row r="74" spans="1:6">
      <c r="A74" s="21" t="s">
        <v>86</v>
      </c>
      <c r="B74" s="22"/>
      <c r="C74" s="22"/>
      <c r="D74" s="22"/>
      <c r="E74" s="22"/>
      <c r="F74" s="23"/>
    </row>
    <row r="75" spans="1:6">
      <c r="A75" s="21" t="s">
        <v>31</v>
      </c>
      <c r="B75" s="22"/>
      <c r="C75" s="22"/>
      <c r="D75" s="22"/>
      <c r="E75" s="22"/>
      <c r="F75" s="23"/>
    </row>
    <row r="76" spans="1:6">
      <c r="A76" s="10" t="s">
        <v>205</v>
      </c>
      <c r="B76" s="10" t="s">
        <v>206</v>
      </c>
      <c r="C76" s="7">
        <v>3</v>
      </c>
      <c r="D76" s="9">
        <v>3</v>
      </c>
      <c r="E76" s="9" t="s">
        <v>13</v>
      </c>
      <c r="F76" s="9" t="s">
        <v>191</v>
      </c>
    </row>
    <row r="77" spans="1:6">
      <c r="A77" s="10" t="s">
        <v>207</v>
      </c>
      <c r="B77" s="10" t="s">
        <v>208</v>
      </c>
      <c r="C77" s="7">
        <v>3</v>
      </c>
      <c r="D77" s="9">
        <v>3</v>
      </c>
      <c r="E77" s="9" t="s">
        <v>13</v>
      </c>
      <c r="F77" s="9" t="s">
        <v>13</v>
      </c>
    </row>
    <row r="78" spans="1:6">
      <c r="A78" s="10" t="s">
        <v>209</v>
      </c>
      <c r="B78" s="10" t="s">
        <v>210</v>
      </c>
      <c r="C78" s="7">
        <v>3</v>
      </c>
      <c r="D78" s="9">
        <v>3</v>
      </c>
      <c r="E78" s="9" t="s">
        <v>13</v>
      </c>
      <c r="F78" s="9" t="s">
        <v>13</v>
      </c>
    </row>
    <row r="79" spans="1:6">
      <c r="A79" s="10" t="s">
        <v>211</v>
      </c>
      <c r="B79" s="10" t="s">
        <v>212</v>
      </c>
      <c r="C79" s="7">
        <v>3</v>
      </c>
      <c r="D79" s="9">
        <v>3</v>
      </c>
      <c r="E79" s="9" t="s">
        <v>13</v>
      </c>
      <c r="F79" s="9" t="s">
        <v>13</v>
      </c>
    </row>
    <row r="80" spans="1:6">
      <c r="A80" s="8" t="s">
        <v>213</v>
      </c>
      <c r="B80" s="8" t="s">
        <v>214</v>
      </c>
      <c r="C80" s="7">
        <v>3</v>
      </c>
      <c r="D80" s="9">
        <v>3</v>
      </c>
      <c r="E80" s="9" t="s">
        <v>13</v>
      </c>
      <c r="F80" s="9" t="s">
        <v>13</v>
      </c>
    </row>
    <row r="81" spans="1:6">
      <c r="A81" s="10" t="s">
        <v>215</v>
      </c>
      <c r="B81" s="8" t="s">
        <v>216</v>
      </c>
      <c r="C81" s="7">
        <v>3</v>
      </c>
      <c r="D81" s="9">
        <v>3</v>
      </c>
      <c r="E81" s="9" t="s">
        <v>13</v>
      </c>
      <c r="F81" s="9" t="s">
        <v>13</v>
      </c>
    </row>
    <row r="82" spans="1:6">
      <c r="A82" s="10"/>
      <c r="B82" s="17" t="s">
        <v>30</v>
      </c>
      <c r="C82" s="7">
        <f>SUM(C76:C81)</f>
        <v>18</v>
      </c>
      <c r="D82" s="9"/>
      <c r="E82" s="9"/>
      <c r="F82" s="9"/>
    </row>
    <row r="83" spans="1:6">
      <c r="A83" s="37"/>
      <c r="B83" s="19"/>
      <c r="C83" s="22"/>
      <c r="D83" s="38"/>
      <c r="E83" s="38"/>
      <c r="F83" s="39"/>
    </row>
    <row r="84" spans="1:6">
      <c r="A84" s="26" t="s">
        <v>117</v>
      </c>
      <c r="B84" s="27"/>
      <c r="C84" s="27"/>
      <c r="D84" s="27"/>
      <c r="E84" s="27"/>
      <c r="F84" s="28"/>
    </row>
    <row r="85" spans="1:6">
      <c r="A85" s="21" t="s">
        <v>118</v>
      </c>
      <c r="B85" s="22"/>
      <c r="C85" s="22"/>
      <c r="D85" s="22"/>
      <c r="E85" s="22"/>
      <c r="F85" s="23"/>
    </row>
    <row r="86" spans="1:6">
      <c r="A86" s="10" t="s">
        <v>217</v>
      </c>
      <c r="B86" s="40" t="s">
        <v>218</v>
      </c>
      <c r="C86" s="7">
        <v>3</v>
      </c>
      <c r="D86" s="9">
        <v>3</v>
      </c>
      <c r="E86" s="9" t="s">
        <v>13</v>
      </c>
      <c r="F86" s="9" t="s">
        <v>209</v>
      </c>
    </row>
    <row r="87" spans="1:6">
      <c r="A87" s="10" t="s">
        <v>219</v>
      </c>
      <c r="B87" s="10" t="s">
        <v>220</v>
      </c>
      <c r="C87" s="7">
        <v>3</v>
      </c>
      <c r="D87" s="9">
        <v>3</v>
      </c>
      <c r="E87" s="9" t="s">
        <v>13</v>
      </c>
      <c r="F87" s="9" t="s">
        <v>154</v>
      </c>
    </row>
    <row r="88" spans="1:6">
      <c r="A88" s="10" t="s">
        <v>221</v>
      </c>
      <c r="B88" s="10" t="s">
        <v>222</v>
      </c>
      <c r="C88" s="7">
        <v>3</v>
      </c>
      <c r="D88" s="9">
        <v>3</v>
      </c>
      <c r="E88" s="9" t="s">
        <v>13</v>
      </c>
      <c r="F88" s="9" t="s">
        <v>223</v>
      </c>
    </row>
    <row r="89" ht="55.2" spans="1:6">
      <c r="A89" s="41" t="s">
        <v>224</v>
      </c>
      <c r="B89" s="42" t="s">
        <v>225</v>
      </c>
      <c r="C89" s="7">
        <v>3</v>
      </c>
      <c r="D89" s="9">
        <v>3</v>
      </c>
      <c r="E89" s="9" t="s">
        <v>13</v>
      </c>
      <c r="F89" s="42" t="s">
        <v>226</v>
      </c>
    </row>
    <row r="90" spans="1:6">
      <c r="A90" s="10"/>
      <c r="B90" s="17" t="s">
        <v>30</v>
      </c>
      <c r="C90" s="7">
        <f>SUM(C86:C89)</f>
        <v>12</v>
      </c>
      <c r="D90" s="9"/>
      <c r="E90" s="9"/>
      <c r="F90" s="9"/>
    </row>
    <row r="91" spans="1:6">
      <c r="A91" s="21" t="s">
        <v>117</v>
      </c>
      <c r="B91" s="22"/>
      <c r="C91" s="22"/>
      <c r="D91" s="22"/>
      <c r="E91" s="22"/>
      <c r="F91" s="23"/>
    </row>
    <row r="92" spans="1:6">
      <c r="A92" s="21" t="s">
        <v>128</v>
      </c>
      <c r="B92" s="22"/>
      <c r="C92" s="22"/>
      <c r="D92" s="22"/>
      <c r="E92" s="22"/>
      <c r="F92" s="23"/>
    </row>
    <row r="93" ht="27.6" spans="1:6">
      <c r="A93" s="8" t="s">
        <v>227</v>
      </c>
      <c r="B93" s="15" t="s">
        <v>228</v>
      </c>
      <c r="C93" s="7">
        <v>6</v>
      </c>
      <c r="D93" s="9" t="s">
        <v>13</v>
      </c>
      <c r="E93" s="9" t="s">
        <v>13</v>
      </c>
      <c r="F93" s="42" t="s">
        <v>229</v>
      </c>
    </row>
    <row r="94" spans="1:6">
      <c r="A94" s="10"/>
      <c r="B94" s="17" t="s">
        <v>30</v>
      </c>
      <c r="C94" s="7">
        <f>SUM(C93)</f>
        <v>6</v>
      </c>
      <c r="D94" s="9"/>
      <c r="E94" s="9"/>
      <c r="F94" s="9"/>
    </row>
    <row r="95" spans="3:6">
      <c r="C95" s="43"/>
      <c r="D95" s="43"/>
      <c r="E95" s="44"/>
      <c r="F95" s="44"/>
    </row>
    <row r="96" spans="2:5">
      <c r="B96" s="45" t="s">
        <v>132</v>
      </c>
      <c r="C96" s="46" t="s">
        <v>133</v>
      </c>
      <c r="D96" s="47"/>
      <c r="E96" s="48"/>
    </row>
    <row r="97" spans="2:6">
      <c r="B97" s="49" t="s">
        <v>134</v>
      </c>
      <c r="C97" s="50">
        <v>42</v>
      </c>
      <c r="D97" s="50"/>
      <c r="E97" s="50"/>
      <c r="F97" s="44"/>
    </row>
    <row r="98" spans="2:6">
      <c r="B98" s="49" t="s">
        <v>230</v>
      </c>
      <c r="C98" s="50">
        <v>57</v>
      </c>
      <c r="D98" s="50"/>
      <c r="E98" s="50"/>
      <c r="F98" s="44"/>
    </row>
    <row r="99" spans="2:6">
      <c r="B99" s="49" t="s">
        <v>231</v>
      </c>
      <c r="C99" s="51">
        <v>15</v>
      </c>
      <c r="D99" s="52"/>
      <c r="E99" s="53"/>
      <c r="F99" s="44"/>
    </row>
    <row r="100" spans="2:6">
      <c r="B100" s="49" t="s">
        <v>232</v>
      </c>
      <c r="C100" s="51">
        <v>18</v>
      </c>
      <c r="D100" s="52"/>
      <c r="E100" s="53"/>
      <c r="F100" s="44"/>
    </row>
    <row r="101" spans="2:6">
      <c r="B101" s="49" t="s">
        <v>139</v>
      </c>
      <c r="C101" s="50">
        <v>8</v>
      </c>
      <c r="D101" s="50"/>
      <c r="E101" s="50"/>
      <c r="F101" s="44"/>
    </row>
    <row r="102" spans="2:6">
      <c r="B102" s="49" t="s">
        <v>140</v>
      </c>
      <c r="C102" s="50">
        <v>6</v>
      </c>
      <c r="D102" s="50"/>
      <c r="E102" s="50"/>
      <c r="F102" s="44"/>
    </row>
    <row r="103" spans="2:5">
      <c r="B103" s="49" t="s">
        <v>233</v>
      </c>
      <c r="C103" s="51">
        <v>6</v>
      </c>
      <c r="D103" s="52"/>
      <c r="E103" s="53"/>
    </row>
    <row r="104" spans="2:5">
      <c r="B104" s="54" t="s">
        <v>141</v>
      </c>
      <c r="C104" s="50">
        <v>149</v>
      </c>
      <c r="D104" s="50"/>
      <c r="E104" s="50"/>
    </row>
    <row r="106" spans="1:1">
      <c r="A106" t="s">
        <v>142</v>
      </c>
    </row>
    <row r="109" spans="1:2">
      <c r="A109" s="55" t="s">
        <v>143</v>
      </c>
      <c r="B109" s="55"/>
    </row>
    <row r="110" spans="1:1">
      <c r="A110" t="s">
        <v>144</v>
      </c>
    </row>
    <row r="112" spans="1:1">
      <c r="A112" t="s">
        <v>145</v>
      </c>
    </row>
    <row r="113" spans="3:3">
      <c r="C113" t="s">
        <v>146</v>
      </c>
    </row>
    <row r="115" spans="1:2">
      <c r="A115" s="55" t="s">
        <v>147</v>
      </c>
      <c r="B115" s="55"/>
    </row>
    <row r="116" spans="1:6">
      <c r="A116" t="s">
        <v>148</v>
      </c>
      <c r="C116" s="56" t="s">
        <v>149</v>
      </c>
      <c r="D116" s="56"/>
      <c r="E116" s="56"/>
      <c r="F116" s="56"/>
    </row>
    <row r="117" spans="3:6">
      <c r="C117" s="44" t="s">
        <v>150</v>
      </c>
      <c r="D117" s="44"/>
      <c r="E117" s="44"/>
      <c r="F117" s="44"/>
    </row>
  </sheetData>
  <mergeCells count="32">
    <mergeCell ref="A9:F9"/>
    <mergeCell ref="A10:F10"/>
    <mergeCell ref="A11:F11"/>
    <mergeCell ref="A12:F12"/>
    <mergeCell ref="A14:F14"/>
    <mergeCell ref="A15:F15"/>
    <mergeCell ref="A27:F27"/>
    <mergeCell ref="A28:F28"/>
    <mergeCell ref="A38:F38"/>
    <mergeCell ref="A39:F39"/>
    <mergeCell ref="A49:F49"/>
    <mergeCell ref="A50:F50"/>
    <mergeCell ref="A62:F62"/>
    <mergeCell ref="A63:F63"/>
    <mergeCell ref="A74:F74"/>
    <mergeCell ref="A75:F75"/>
    <mergeCell ref="A84:F84"/>
    <mergeCell ref="A85:F85"/>
    <mergeCell ref="A91:F91"/>
    <mergeCell ref="A92:F92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16:F116"/>
    <mergeCell ref="C117:F117"/>
    <mergeCell ref="A1:F8"/>
  </mergeCells>
  <hyperlinks>
    <hyperlink ref="A1" r:id="rId2"/>
  </hyperlink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BSIS</vt:lpstr>
      <vt:lpstr>BPA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QHTF</dc:creator>
  <cp:lastModifiedBy>Clarissa</cp:lastModifiedBy>
  <dcterms:created xsi:type="dcterms:W3CDTF">2023-01-17T05:05:00Z</dcterms:created>
  <cp:lastPrinted>2023-11-28T08:16:00Z</cp:lastPrinted>
  <dcterms:modified xsi:type="dcterms:W3CDTF">2026-01-08T03:43:53Z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6B25603E35784159A50457698CC36A08_12</vt:lpwstr>
  </property>
  <property fmtid="{D5CDD505-2E9C-101B-9397-08002B2CF9AE}" pid="3" name="KSOProductBuildVer">
    <vt:lpwstr>1033-12.2.0.23196</vt:lpwstr>
  </property>
</Properties>
</file>